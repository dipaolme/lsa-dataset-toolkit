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CATALOGO" sheetId="2" r:id="rId6"/>
  </sheets>
  <definedNames/>
  <calcPr/>
</workbook>
</file>

<file path=xl/sharedStrings.xml><?xml version="1.0" encoding="utf-8"?>
<sst xmlns="http://schemas.openxmlformats.org/spreadsheetml/2006/main" count="537" uniqueCount="291">
  <si>
    <t>Columna 1</t>
  </si>
  <si>
    <t>Videos</t>
  </si>
  <si>
    <t>Minutos Totales</t>
  </si>
  <si>
    <t>Minutos Sin Crudo</t>
  </si>
  <si>
    <t>Minutos Con Crudo</t>
  </si>
  <si>
    <t>Minutos Hardcoded</t>
  </si>
  <si>
    <t>Minutos Subtitle</t>
  </si>
  <si>
    <t>Guia de Información 2018/2019 | Servicios Sociales Zonales</t>
  </si>
  <si>
    <t>Guía de Información 2018/2019 | Sistema Previsional</t>
  </si>
  <si>
    <t>Guía de Información 2018/2019 | Vida Independiente</t>
  </si>
  <si>
    <t>Guía de Información 2018/2019 | Participación</t>
  </si>
  <si>
    <t>Guía de Información 2018/2019 | Educación</t>
  </si>
  <si>
    <t>Guía de Información 2018/2019 | Transporte</t>
  </si>
  <si>
    <t>Guía de Información 2018/2019 | Accesibilidad</t>
  </si>
  <si>
    <t>Guía de Información 2018/2019 | Beneficios Fiscales</t>
  </si>
  <si>
    <t>Guía de Información 2018/2019 | Trabajo</t>
  </si>
  <si>
    <t>Guía de Información 2018/2019 | Salud</t>
  </si>
  <si>
    <t>Guía de Información 2018/2019 | Certificado Único de Discapacidad - CUD</t>
  </si>
  <si>
    <t>VJORNADA DE VIDA INDEPENDIENTE 2020</t>
  </si>
  <si>
    <t>LEYES SOBRE LA VIOLENCIA CONTRA LAS MUJERES EN LENGUA DE SEÑAS ARGENTINA (LSA)</t>
  </si>
  <si>
    <t>SUBTOTAL</t>
  </si>
  <si>
    <r>
      <rPr>
        <color rgb="FF1155CC"/>
        <u/>
      </rPr>
      <t>V Jornada de Vida Independiente - Vivienda con Apoyos: El Derecho a vivir de forma independiente.</t>
    </r>
  </si>
  <si>
    <t>playlist</t>
  </si>
  <si>
    <t>yt_id</t>
  </si>
  <si>
    <t>title</t>
  </si>
  <si>
    <t>duration_sec</t>
  </si>
  <si>
    <t>view_count</t>
  </si>
  <si>
    <t>has_auto_subs</t>
  </si>
  <si>
    <t>hardcoded_sub</t>
  </si>
  <si>
    <t>local_file</t>
  </si>
  <si>
    <t>has_docx_sub</t>
  </si>
  <si>
    <t>match_status</t>
  </si>
  <si>
    <t>notas</t>
  </si>
  <si>
    <t>Guía de Turismo 2018/2019</t>
  </si>
  <si>
    <t>ook_O5pd3D0</t>
  </si>
  <si>
    <t>Circuito 1: San Nicolás / Casco Histórico</t>
  </si>
  <si>
    <t>sin match</t>
  </si>
  <si>
    <t>material crudo no encontrado</t>
  </si>
  <si>
    <t>VlfX8oURh-s</t>
  </si>
  <si>
    <t>Circuito 2: San Telmo / La Boca</t>
  </si>
  <si>
    <t>q4S4J59Dvr8</t>
  </si>
  <si>
    <t>Circuito 3: Recoleta / Retiro</t>
  </si>
  <si>
    <t>nbHsyDeo3Eo</t>
  </si>
  <si>
    <t>Circuito 4: Puerto Madero / Balvanera</t>
  </si>
  <si>
    <t>QG7ND5YNfVQ</t>
  </si>
  <si>
    <t>Circuito 5: Palermo / Belgrano</t>
  </si>
  <si>
    <t>7az9Z92XonA</t>
  </si>
  <si>
    <t>Circuito 6: Provincia de Buenos Aires - La Plata</t>
  </si>
  <si>
    <t>EGxhVpFU1OI</t>
  </si>
  <si>
    <t>Circuito 7: Provincia de Buenos Aires / Bahía Blanca</t>
  </si>
  <si>
    <t>bg8ySVMa71A</t>
  </si>
  <si>
    <t>Circuito 8 y 9: Provincia de Buenos Aires/ Mar del Plata</t>
  </si>
  <si>
    <t>u07hL-EzTpY</t>
  </si>
  <si>
    <t>1. Programa Hogares</t>
  </si>
  <si>
    <t>DSC_0851 p.73.MOV</t>
  </si>
  <si>
    <t>OK</t>
  </si>
  <si>
    <t>T_vgQJhMWf8</t>
  </si>
  <si>
    <t>2. Apoyos del Gobierno de la Nación</t>
  </si>
  <si>
    <t>DSC_0856 p.74.MOV</t>
  </si>
  <si>
    <t>2iYRa7hKg2g</t>
  </si>
  <si>
    <t>3. Pedir ayuda técnica</t>
  </si>
  <si>
    <t>DSC_0858 p. 75 ayuda tecnica.MOV</t>
  </si>
  <si>
    <t>KrAliLan0Gs</t>
  </si>
  <si>
    <t>1. Sistema previsional</t>
  </si>
  <si>
    <t>DSC_0701 Titulo Sistema Prev.MOV</t>
  </si>
  <si>
    <t>BbiF_2145Es</t>
  </si>
  <si>
    <t>2.  Pensión no contributiva por discapacidad - PNC</t>
  </si>
  <si>
    <t>DSC_0749 PNC2.MOV</t>
  </si>
  <si>
    <t>MkSTIErbEbk</t>
  </si>
  <si>
    <t>3. ¿Cuándo podes cobrar la pensión por discapacidad?</t>
  </si>
  <si>
    <t>71AmCt5zrr8</t>
  </si>
  <si>
    <t>4. ¿Cómo se tramita la pensión por discapacidad?</t>
  </si>
  <si>
    <t>i1YJ2VoH6_k</t>
  </si>
  <si>
    <t>5. Certificado Médico Oficial - CMO</t>
  </si>
  <si>
    <t>DSC_0765 CMO si.MOV</t>
  </si>
  <si>
    <t>lnRWIFwblDw</t>
  </si>
  <si>
    <t>6.  Asignación universal por hijo con discapacidad</t>
  </si>
  <si>
    <t>O_9wfdgHaW4</t>
  </si>
  <si>
    <t>8. Asignación por hijo con discapacidad</t>
  </si>
  <si>
    <t>V0hm94uW_to</t>
  </si>
  <si>
    <t>9. Jubilación por discapacidad</t>
  </si>
  <si>
    <t>DSC_0775 Jubil disc si.MOV</t>
  </si>
  <si>
    <t>DpT8rj_OyXI</t>
  </si>
  <si>
    <t>10. Edad jubilación por discapacidad</t>
  </si>
  <si>
    <t>DSC_0761 PNC dnd si.MOV</t>
  </si>
  <si>
    <t>hHqyvAOZpwk</t>
  </si>
  <si>
    <t>11. Retiro por invalidez</t>
  </si>
  <si>
    <t>DSC_0785 Retiro si.MOV</t>
  </si>
  <si>
    <t>rX2VatRZzBE</t>
  </si>
  <si>
    <t>7. ¿Cuándo podes cobrar la asignación por hijo con discapacidad?</t>
  </si>
  <si>
    <t>DSC_0771 AHHD si.MOV</t>
  </si>
  <si>
    <t>kMOBrkojQbw</t>
  </si>
  <si>
    <t>1. Banco de Elementos Ortopédicos - BEO</t>
  </si>
  <si>
    <t>DSC_0882 p,105 beo.MOV</t>
  </si>
  <si>
    <t>J6xUFDqW4BA</t>
  </si>
  <si>
    <t>1. Organizaciones Sociedad Civil - OSC</t>
  </si>
  <si>
    <t>OTmV28NGG5I</t>
  </si>
  <si>
    <t>2 - Fortalecimiento ↓</t>
  </si>
  <si>
    <t>wSd8jKV42Y8</t>
  </si>
  <si>
    <t>1. Apoyos Educación</t>
  </si>
  <si>
    <t>DSC_0862 p. 85 apoyos copidis educacion.MOV</t>
  </si>
  <si>
    <t>S2KHEqDAia0</t>
  </si>
  <si>
    <t>2. Materia didáctico Braille ↓</t>
  </si>
  <si>
    <t>DSC_0866 p.85 libros escolares accesibles.MOV</t>
  </si>
  <si>
    <t>Psy8y4VfJ2s</t>
  </si>
  <si>
    <t>3. Registro Acompañantes No Docentes APND</t>
  </si>
  <si>
    <t>DSC_0871 p.86 registro docentes apoyo.MOV</t>
  </si>
  <si>
    <t>5J9xY8gOdUY</t>
  </si>
  <si>
    <t>4. Apoyos Ministerio de Educación</t>
  </si>
  <si>
    <t>DSC_0873 p.87 que apoyos te da el Ministerio de Educacion.MOV</t>
  </si>
  <si>
    <t>Wns-CUyyQL0</t>
  </si>
  <si>
    <t>7. Materiales didácticos</t>
  </si>
  <si>
    <t>DSC_0881 p.96 material en braille.MOV</t>
  </si>
  <si>
    <t>QlS5zsPqw3k</t>
  </si>
  <si>
    <t>6. Escuela hospitalaria o domiciliaria</t>
  </si>
  <si>
    <t>DSC_0878 p. 95 escuelas hospitalarias.MOV</t>
  </si>
  <si>
    <t>ihpijvrFcbY</t>
  </si>
  <si>
    <t>5. Centros educativos de atención y prevención de primera infancia - CEPAPI ↓</t>
  </si>
  <si>
    <t>DSC_0875 p.92 cepapi _ rehacer.MOV</t>
  </si>
  <si>
    <t>vdp9Fh7jj-8</t>
  </si>
  <si>
    <t>6. ¿Cómo pedir la reserva de estacionamiento? ↓</t>
  </si>
  <si>
    <t>DSC_0824 Reserva estac CONFIRMAR SI.MOV</t>
  </si>
  <si>
    <t>3gyP_SIz3T0</t>
  </si>
  <si>
    <t>1. Beneficios transporte</t>
  </si>
  <si>
    <t>DSC_0730 transp4 ver.MOV</t>
  </si>
  <si>
    <t>gSe9tkhgOT0</t>
  </si>
  <si>
    <t>7. Franquicias</t>
  </si>
  <si>
    <t>DSC_0826 Franquicia si.MOV</t>
  </si>
  <si>
    <t>Lq8JAf8gTI0</t>
  </si>
  <si>
    <t>2. Pase libre para viajar</t>
  </si>
  <si>
    <t>DSC_0802 Pasaje gratis si.MOV</t>
  </si>
  <si>
    <t>Gi5dmimT9mg</t>
  </si>
  <si>
    <t>3. Peaje libre</t>
  </si>
  <si>
    <t>DSC_0809 Peaje libre si.MOV</t>
  </si>
  <si>
    <t>DQO5MhSq8ks</t>
  </si>
  <si>
    <t>4. Perro guía o de asistencia</t>
  </si>
  <si>
    <t>DSC_0812 Perro guia primera parte.MOV</t>
  </si>
  <si>
    <t>kcChz0qrXZs</t>
  </si>
  <si>
    <t>5.  Símbolo Internacional de Acceso</t>
  </si>
  <si>
    <t>ZbjWSR5fl88</t>
  </si>
  <si>
    <t>6.  App BA Accesible</t>
  </si>
  <si>
    <t>DSC_0848 p.70 BAapp.MOV</t>
  </si>
  <si>
    <t>52hONjN3AMk</t>
  </si>
  <si>
    <t>1. COPIDIS Área Accesibilidad</t>
  </si>
  <si>
    <t>DSC_0839 p.65 accesibilidad.MOV</t>
  </si>
  <si>
    <t>hQPyeZn-CEo</t>
  </si>
  <si>
    <t>2. ¿Cómo presentar un reclamo?</t>
  </si>
  <si>
    <t>DSC_0841 p.66.MOV</t>
  </si>
  <si>
    <t>oE49uoxSRr8</t>
  </si>
  <si>
    <t>4. Reclamos online</t>
  </si>
  <si>
    <t>DSC_0846 p.68 lugr publico.MOV</t>
  </si>
  <si>
    <t>V-YJmvUkKog</t>
  </si>
  <si>
    <t>3. Ley No. 962 de accesibilidad edilicia</t>
  </si>
  <si>
    <t>DSC_0845 p.68 edificio accesible.MOV</t>
  </si>
  <si>
    <t>Aza2d0yi5bs</t>
  </si>
  <si>
    <t>5. Guía de Turismo Accesible</t>
  </si>
  <si>
    <t>DSC_0847 p.69.MOV</t>
  </si>
  <si>
    <t>0Vxf04VftJE</t>
  </si>
  <si>
    <t>1. Beneficios fiscales</t>
  </si>
  <si>
    <t>vP2AvPqVYa8</t>
  </si>
  <si>
    <t>2. ¿Qué es una exención fiscal?</t>
  </si>
  <si>
    <t>dzQ8_c5glyA</t>
  </si>
  <si>
    <t>5.  Programas Nación 16 ↓</t>
  </si>
  <si>
    <t>DSC_1035 programas nacion.MOV</t>
  </si>
  <si>
    <t>-IdA4qbAncw</t>
  </si>
  <si>
    <t>4.  Vender en ferias artesanales</t>
  </si>
  <si>
    <t>DSC_1034 ferias si.MOV</t>
  </si>
  <si>
    <t>4T68Q7fSeA4</t>
  </si>
  <si>
    <t>3. Registro Pequeños Comercios</t>
  </si>
  <si>
    <t>DSC_1031pquenos com si.MOV</t>
  </si>
  <si>
    <t>_j3n-b6Fc_A</t>
  </si>
  <si>
    <t>1. Registro Único Laboral - RUL</t>
  </si>
  <si>
    <t>DSC_0884 p.108 rul.MOV</t>
  </si>
  <si>
    <t>ApXvrj82TgY</t>
  </si>
  <si>
    <t>2. Becas de estudio y formación profesional</t>
  </si>
  <si>
    <t>DSC_1026 becas primera parte.MOV</t>
  </si>
  <si>
    <t>bw6hm44CRQk</t>
  </si>
  <si>
    <t>1.  Prestaciones básicas de salud</t>
  </si>
  <si>
    <t>DSC_0726 salud2 si.MOV</t>
  </si>
  <si>
    <t>Vil9KHTo8p8</t>
  </si>
  <si>
    <t>2.  Qué son las prestaciones básicas de salud</t>
  </si>
  <si>
    <t>DSC_0789 Serv Salud basico si.MOV</t>
  </si>
  <si>
    <t>jomsMKgYkyQ</t>
  </si>
  <si>
    <t>3.  Pedir prestaciones básicas de salud</t>
  </si>
  <si>
    <t>DSC_0792 Serv Salud basico si</t>
  </si>
  <si>
    <t>Mu_txXs9ihg</t>
  </si>
  <si>
    <t>4.  Reclamar prestaciones básicas de salud</t>
  </si>
  <si>
    <t>AU3OdF0iNv0</t>
  </si>
  <si>
    <t>5. Cobertura Porteña Salud</t>
  </si>
  <si>
    <t>DSC_0797 Plan Salud Ciudad si.MOV</t>
  </si>
  <si>
    <t>XxDsNzglSzU</t>
  </si>
  <si>
    <t>6.  Incluir Salud</t>
  </si>
  <si>
    <t>DSC_0798 Incluir Salud que es si.MOV</t>
  </si>
  <si>
    <t>jcWSZirq1ho</t>
  </si>
  <si>
    <t>7.  Afiliarse a Incluir Salud</t>
  </si>
  <si>
    <t>DSC_0799 Incluir Salud tramite si.MOV</t>
  </si>
  <si>
    <t>qxy6Wv4NRB4</t>
  </si>
  <si>
    <t>1. ¿Qué es el certificado Único de Discapacidad?</t>
  </si>
  <si>
    <t>DSC_0710 CUD3 si (ver).MOV</t>
  </si>
  <si>
    <t>u4R2ZtoexMU</t>
  </si>
  <si>
    <t>2.  Persona con discapacidad</t>
  </si>
  <si>
    <t>DSC_0715 PCD5 si</t>
  </si>
  <si>
    <t>WnBynb92GWE</t>
  </si>
  <si>
    <t>3. ¿Dónde pedís tu CUD?</t>
  </si>
  <si>
    <t>DSC_0718 CUD tram3 no c.MOV</t>
  </si>
  <si>
    <t>bx3o-WISVPk</t>
  </si>
  <si>
    <t>4.  ¿Para qué sirve el CUD?</t>
  </si>
  <si>
    <t>DSC_0719 CUD tram4 si.MOV</t>
  </si>
  <si>
    <t>75jVq4wKLEo</t>
  </si>
  <si>
    <t>5.  ¿Para qué son los ajustes razonables?</t>
  </si>
  <si>
    <t>JxP7w7g28D4</t>
  </si>
  <si>
    <t>6.  Apoyos y ajustes razonables</t>
  </si>
  <si>
    <t>DSC_0738 Apoyo3 final.MOV</t>
  </si>
  <si>
    <t>fuHTMk6rTkU</t>
  </si>
  <si>
    <t>7.  ¿Cómo tramitar tu CUD?</t>
  </si>
  <si>
    <t>DSC_0740 CUD tramite1si.MOV</t>
  </si>
  <si>
    <t>6lWq6bCXwTY</t>
  </si>
  <si>
    <t>8. ¿Que podes hacer si perdiste o te robaron el CUD?</t>
  </si>
  <si>
    <t>DSC_0746 CUD pierde si.MOV</t>
  </si>
  <si>
    <t>DL78KR3_4Z4</t>
  </si>
  <si>
    <t>V Jornada de Vida Independiente - Vivienda con Apoyos: El Derecho a vivir de forma independiente.</t>
  </si>
  <si>
    <t>video en 1/2 pantalla. Material crudo no encontrado</t>
  </si>
  <si>
    <t>6oxcC0cph9g</t>
  </si>
  <si>
    <t>p34PDLyzY2U</t>
  </si>
  <si>
    <t>0  LEYES SOBRE LA VIOLENCIA CONTRA LAS MUJERES  EN LENGUA DE SEÑAS ARGENTINA - PRESENTACIÓN</t>
  </si>
  <si>
    <t>cI2tBm6zV28</t>
  </si>
  <si>
    <t>1  LEY DE PROTECCIÓN  INTEGRAL A LAS MUJERES INTRODUCCIÓN  ARTÍCULOS 1 y 2</t>
  </si>
  <si>
    <t>WpcjPF3Az54</t>
  </si>
  <si>
    <t>2  LEY DE PROTECCION INTEGRAL A LA MUJER PARTE 1 ART 3 4</t>
  </si>
  <si>
    <t>0TnEJNFfcqk</t>
  </si>
  <si>
    <t>3  LEY DE PROTECCION INTEGRAL A LA MUJER PARTE 1_ART 5</t>
  </si>
  <si>
    <t>g7SPEHgCm8o</t>
  </si>
  <si>
    <t>4  LEY DE PROTECCION INTEGRAL A LA MUJERES Art  6 convertido</t>
  </si>
  <si>
    <t>0IbheCdiSf0</t>
  </si>
  <si>
    <t>5  LEY DE PROTECCIÓN INTEGRAL A LAS MUJERES PARTE 2 Art 7</t>
  </si>
  <si>
    <t>j1F4WaYk9lc</t>
  </si>
  <si>
    <t>6  LEY DE PROTECCIÓN INTEGRAL A LAS MUJERES PARTE2 Art 8 9</t>
  </si>
  <si>
    <t>jrxdaTB3uM4</t>
  </si>
  <si>
    <t>7  LEY DE PROTECCIÓN INTEGRAL A LAS MUJERES PARTE2 CAP3 ART10</t>
  </si>
  <si>
    <t>sGI5KhrVPB8</t>
  </si>
  <si>
    <t>8  LEY DE PROTECCION INTEGRAL A LAS MUJERES PARTE2 CAP3 ART11</t>
  </si>
  <si>
    <t>lWGuIDfGvcs</t>
  </si>
  <si>
    <t>9  LEY DE PROTECCION INTEGRAL A LAS MUEJRES CAP 4 ART 12 13</t>
  </si>
  <si>
    <t>LvBOswVqwUs</t>
  </si>
  <si>
    <t>10  LEY DE PROTECCION INTEGRAL A LA MUJER CAP 4 ART 14</t>
  </si>
  <si>
    <t>RNbhLvscJXI</t>
  </si>
  <si>
    <t>11  LEY DE PROTECCION INTEGRAL A LAS MUJERES PARTE2 CAP4 ART15</t>
  </si>
  <si>
    <t>Y2Q1kU6pxcU</t>
  </si>
  <si>
    <t>12  ARTÍCULO 16 a 20 PROCEDIMIENTOS</t>
  </si>
  <si>
    <t>qvT_OoNTy48</t>
  </si>
  <si>
    <t>13  ARTÍCULO 21 A 25 PROCEDIMIENTOS</t>
  </si>
  <si>
    <t>YxS_T0eYih4</t>
  </si>
  <si>
    <t>14  ARTÍCULO 26 A 30 PROCEDIMIENTOS</t>
  </si>
  <si>
    <t>ldDjxRSNljs</t>
  </si>
  <si>
    <t>15  ARTÍCULO 31 A 35 PROCEDIMIENTOS</t>
  </si>
  <si>
    <t>d_Rz6G03xb0</t>
  </si>
  <si>
    <t>16-  ARTÍCULO 36 A 40 PROCEDIMIENTOS</t>
  </si>
  <si>
    <t>-NZRy3GnzsY</t>
  </si>
  <si>
    <t>17-  PARTE 4 REGLAS FINALES</t>
  </si>
  <si>
    <t>WAWGnQl2U58</t>
  </si>
  <si>
    <t>18  AFICHE TIPOS DE VIOLENCIAS DE GÉNERO</t>
  </si>
  <si>
    <t>IOJrsH_5f_A</t>
  </si>
  <si>
    <t>19-  LEY 4203 CABA LEY DE PROTECCIÓN INTEGRAL A LAS MUJERES ART 1-2</t>
  </si>
  <si>
    <t>Lj_ALipbrhU</t>
  </si>
  <si>
    <t>20-  LEY SOBRE ACOSO SEXUAL ¿CÓMO ES ESTA LEY?</t>
  </si>
  <si>
    <t>1IZME8Jf0Sk</t>
  </si>
  <si>
    <t>21- LEY SOBRE ACOSO SEXUAL PARTE 1 REGLAS GENERALES ART 1-4</t>
  </si>
  <si>
    <t>pi98OWk0lAY</t>
  </si>
  <si>
    <t>22-  LEY SOBRE ACOSO SEXUAL PARTE2 ART5-6</t>
  </si>
  <si>
    <t>fztAMPFPock</t>
  </si>
  <si>
    <t>23  LEY DE LA CIUDAD DE BUENOS AIRES SOBRE ACOSO SEXUAL _PARTE 3 _Art 7</t>
  </si>
  <si>
    <t>L-IHwF1yqB8</t>
  </si>
  <si>
    <t>24  Leyes 5861 y 6134 CABA REPARACIÓN ECONÓMICA INTRODUCCIÓN</t>
  </si>
  <si>
    <t>mbCOKvVoo44</t>
  </si>
  <si>
    <t>25- Leyes 5861 y 6134 de la Ciudad  de Buenos Aires Art 1-2</t>
  </si>
  <si>
    <t>tYLsiHFPLmY</t>
  </si>
  <si>
    <t>26- Leyes 5861 y 6134 de la Ciudad de Buenos Aires Art 3</t>
  </si>
  <si>
    <t>eDb-XmOCbMM</t>
  </si>
  <si>
    <t>27-  Leyes 5861 y 6134 de la Ciudad de Buenos Aires Art-4-5</t>
  </si>
  <si>
    <t>lD_qm8-d9BM</t>
  </si>
  <si>
    <t>28  Leyes 5861 y 6134 de la Ciudad de Buenos Aires Art 6-7-8</t>
  </si>
  <si>
    <t>Uj5zTP6Fasc</t>
  </si>
  <si>
    <t>29- Leyes 5861 y 6134 de la Ciudad de Buenos Aires Art 9</t>
  </si>
  <si>
    <t>ekFrEtnmx8Y</t>
  </si>
  <si>
    <t>30-  Leyes 5861 y 6134 de la Ciudad de Buenos Aires Art 10-11</t>
  </si>
  <si>
    <t>wcaR2HMG77U</t>
  </si>
  <si>
    <t>31-  Leyes 5861 y 6134 de la Ciudad de Buenos Aires Art 12-13</t>
  </si>
  <si>
    <t>cZ5BQWpr3N8</t>
  </si>
  <si>
    <t>32 - Leyes 5861 y 6134 de la Ciudad de Buenos Aires_Art_14-15-16</t>
  </si>
  <si>
    <t>6B9o9ZF7nnI</t>
  </si>
  <si>
    <t>33-  EDITORIAL DE CIERRE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</si>
</sst>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Roboto"/>
    </font>
    <font>
      <color rgb="FF434343"/>
      <name val="Roboto"/>
    </font>
    <font>
      <u/>
      <color rgb="FF0000FF"/>
    </font>
    <font>
      <b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B7B7B7"/>
        <bgColor rgb="FFB7B7B7"/>
      </patternFill>
    </fill>
    <fill>
      <patternFill patternType="solid">
        <fgColor rgb="FF1F497D"/>
        <bgColor rgb="FF1F497D"/>
      </patternFill>
    </fill>
  </fills>
  <borders count="12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284E3F"/>
      </right>
      <top style="thin">
        <color rgb="FF999999"/>
      </top>
      <bottom style="thin">
        <color rgb="FF99999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2" fillId="2" fontId="3" numFmtId="0" xfId="0" applyAlignment="1" applyBorder="1" applyFont="1">
      <alignment horizontal="right" shrinkToFit="0" vertical="center" wrapText="0"/>
    </xf>
    <xf borderId="2" fillId="2" fontId="3" numFmtId="2" xfId="0" applyAlignment="1" applyBorder="1" applyFont="1" applyNumberFormat="1">
      <alignment horizontal="right" shrinkToFit="0" vertical="center" wrapText="0"/>
    </xf>
    <xf borderId="3" fillId="2" fontId="3" numFmtId="2" xfId="0" applyAlignment="1" applyBorder="1" applyFont="1" applyNumberFormat="1">
      <alignment horizontal="right" shrinkToFit="0" vertical="center" wrapText="0"/>
    </xf>
    <xf borderId="4" fillId="3" fontId="3" numFmtId="0" xfId="0" applyAlignment="1" applyBorder="1" applyFill="1" applyFont="1">
      <alignment shrinkToFit="0" vertical="center" wrapText="0"/>
    </xf>
    <xf borderId="5" fillId="3" fontId="3" numFmtId="0" xfId="0" applyAlignment="1" applyBorder="1" applyFont="1">
      <alignment horizontal="right" shrinkToFit="0" vertical="center" wrapText="0"/>
    </xf>
    <xf borderId="5" fillId="3" fontId="3" numFmtId="2" xfId="0" applyAlignment="1" applyBorder="1" applyFont="1" applyNumberFormat="1">
      <alignment horizontal="right" shrinkToFit="0" vertical="center" wrapText="0"/>
    </xf>
    <xf borderId="6" fillId="4" fontId="3" numFmtId="0" xfId="0" applyAlignment="1" applyBorder="1" applyFill="1" applyFont="1">
      <alignment shrinkToFit="0" vertical="center" wrapText="0"/>
    </xf>
    <xf borderId="7" fillId="4" fontId="3" numFmtId="0" xfId="0" applyAlignment="1" applyBorder="1" applyFont="1">
      <alignment horizontal="right" shrinkToFit="0" vertical="center" wrapText="0"/>
    </xf>
    <xf borderId="7" fillId="4" fontId="3" numFmtId="2" xfId="0" applyAlignment="1" applyBorder="1" applyFont="1" applyNumberFormat="1">
      <alignment horizontal="right" shrinkToFit="0" vertical="center" wrapText="0"/>
    </xf>
    <xf borderId="8" fillId="4" fontId="3" numFmtId="2" xfId="0" applyAlignment="1" applyBorder="1" applyFont="1" applyNumberFormat="1">
      <alignment horizontal="right" shrinkToFit="0" vertical="center" wrapText="0"/>
    </xf>
    <xf borderId="1" fillId="2" fontId="1" numFmtId="0" xfId="0" applyAlignment="1" applyBorder="1" applyFont="1">
      <alignment shrinkToFit="0" vertical="center" wrapText="0"/>
    </xf>
    <xf borderId="2" fillId="2" fontId="1" numFmtId="0" xfId="0" applyAlignment="1" applyBorder="1" applyFont="1">
      <alignment shrinkToFit="0" vertical="center" wrapText="0"/>
    </xf>
    <xf borderId="2" fillId="2" fontId="1" numFmtId="2" xfId="0" applyAlignment="1" applyBorder="1" applyFont="1" applyNumberFormat="1">
      <alignment shrinkToFit="0" vertical="center" wrapText="0"/>
    </xf>
    <xf borderId="3" fillId="2" fontId="1" numFmtId="2" xfId="0" applyAlignment="1" applyBorder="1" applyFont="1" applyNumberFormat="1">
      <alignment shrinkToFit="0" vertical="center" wrapText="0"/>
    </xf>
    <xf borderId="9" fillId="3" fontId="3" numFmtId="0" xfId="0" applyAlignment="1" applyBorder="1" applyFont="1">
      <alignment shrinkToFit="0" vertical="center" wrapText="0"/>
    </xf>
    <xf borderId="10" fillId="3" fontId="1" numFmtId="0" xfId="0" applyAlignment="1" applyBorder="1" applyFont="1">
      <alignment shrinkToFit="0" vertical="center" wrapText="0"/>
    </xf>
    <xf borderId="10" fillId="3" fontId="3" numFmtId="2" xfId="0" applyAlignment="1" applyBorder="1" applyFont="1" applyNumberFormat="1">
      <alignment horizontal="right" shrinkToFit="0" vertical="center" wrapText="0"/>
    </xf>
    <xf borderId="11" fillId="3" fontId="3" numFmtId="2" xfId="0" applyAlignment="1" applyBorder="1" applyFont="1" applyNumberFormat="1">
      <alignment horizontal="right" shrinkToFit="0" vertical="center" wrapText="0"/>
    </xf>
    <xf borderId="0" fillId="0" fontId="4" numFmtId="0" xfId="0" applyAlignment="1" applyFont="1">
      <alignment readingOrder="0"/>
    </xf>
    <xf borderId="0" fillId="5" fontId="5" numFmtId="0" xfId="0" applyAlignment="1" applyFill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SUME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7" displayName="Tabla_1" name="Tabla_1" id="1">
  <tableColumns count="7">
    <tableColumn name="Columna 1" id="1"/>
    <tableColumn name="Videos" id="2"/>
    <tableColumn name="Minutos Totales" id="3"/>
    <tableColumn name="Minutos Sin Crudo" id="4"/>
    <tableColumn name="Minutos Con Crudo" id="5"/>
    <tableColumn name="Minutos Hardcoded" id="6"/>
    <tableColumn name="Minutos Subtitle" id="7"/>
  </tableColumns>
  <tableStyleInfo name="RESUM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copidisba/playlists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3.88"/>
    <col customWidth="1" min="2" max="2" width="23.63"/>
    <col customWidth="1" min="3" max="3" width="21.38"/>
    <col customWidth="1" min="4" max="4" width="25.25"/>
    <col customWidth="1" min="5" max="5" width="26.63"/>
    <col customWidth="1" min="6" max="6" width="31.0"/>
    <col customWidth="1" min="7" max="7" width="37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3" t="str">
        <f t="array" ref="A2:A16">UNIQUE(CATALOGO!A2:A1000)</f>
        <v>Guía de Turismo 2018/2019</v>
      </c>
      <c r="B2" s="4">
        <f>COUNTIF(CATALOGO!A:A,A2)</f>
        <v>8</v>
      </c>
      <c r="C2" s="5">
        <f>SUMIF(CATALOGO!A:A,A2,CATALOGO!D:D)/60</f>
        <v>22.31666667</v>
      </c>
      <c r="D2" s="5">
        <f>SUMIFS(CATALOGO!D:D,CATALOGO!A:A,A2,CATALOGO!J:J,"sin match")/60</f>
        <v>22.31666667</v>
      </c>
      <c r="E2" s="5">
        <f>(SUMIF(CATALOGO!A:A,A2,CATALOGO!D:D)-SUMIFS(CATALOGO!D:D,CATALOGO!A:A,A2,CATALOGO!J:J,"sin match"))/60</f>
        <v>0</v>
      </c>
      <c r="F2" s="5">
        <f>SUMIFS(CATALOGO!D:D,CATALOGO!A:A,A2,CATALOGO!G:G,TRUE)/60</f>
        <v>22.31666667</v>
      </c>
      <c r="G2" s="6">
        <f>SUMIFS(CATALOGO!D:D,CATALOGO!A:A,A2,CATALOGO!I:I,TRUE)/60</f>
        <v>0</v>
      </c>
    </row>
    <row r="3" ht="22.5" customHeight="1">
      <c r="A3" s="7" t="s">
        <v>7</v>
      </c>
      <c r="B3" s="8">
        <f>COUNTIF(CATALOGO!A:A,A3)</f>
        <v>3</v>
      </c>
      <c r="C3" s="9">
        <f>SUMIF(CATALOGO!A:A,A3,CATALOGO!D:D)/60</f>
        <v>2.116666667</v>
      </c>
      <c r="D3" s="5">
        <f>SUMIFS(CATALOGO!D:D,CATALOGO!A:A,A3,CATALOGO!J:J,"sin match")/60</f>
        <v>0</v>
      </c>
      <c r="E3" s="5">
        <f>(SUMIF(CATALOGO!A:A,A3,CATALOGO!D:D)-SUMIFS(CATALOGO!D:D,CATALOGO!A:A,A3,CATALOGO!J:J,"sin match"))/60</f>
        <v>2.116666667</v>
      </c>
      <c r="F3" s="5">
        <f>SUMIFS(CATALOGO!D:D,CATALOGO!A:A,A3,CATALOGO!G:G,TRUE)/60</f>
        <v>2.116666667</v>
      </c>
      <c r="G3" s="6">
        <f>SUMIFS(CATALOGO!D:D,CATALOGO!A:A,A3,CATALOGO!I:I,TRUE)/60</f>
        <v>2.116666667</v>
      </c>
    </row>
    <row r="4" ht="22.5" customHeight="1">
      <c r="A4" s="3" t="s">
        <v>8</v>
      </c>
      <c r="B4" s="4">
        <f>COUNTIF(CATALOGO!A:A,A4)</f>
        <v>11</v>
      </c>
      <c r="C4" s="5">
        <f>SUMIF(CATALOGO!A:A,A4,CATALOGO!D:D)/60</f>
        <v>5.416666667</v>
      </c>
      <c r="D4" s="5">
        <f>SUMIFS(CATALOGO!D:D,CATALOGO!A:A,A4,CATALOGO!J:J,"sin match")/60</f>
        <v>1.866666667</v>
      </c>
      <c r="E4" s="5">
        <f>(SUMIF(CATALOGO!A:A,A4,CATALOGO!D:D)-SUMIFS(CATALOGO!D:D,CATALOGO!A:A,A4,CATALOGO!J:J,"sin match"))/60</f>
        <v>3.55</v>
      </c>
      <c r="F4" s="5">
        <f>SUMIFS(CATALOGO!D:D,CATALOGO!A:A,A4,CATALOGO!G:G,TRUE)/60</f>
        <v>5.416666667</v>
      </c>
      <c r="G4" s="6">
        <f>SUMIFS(CATALOGO!D:D,CATALOGO!A:A,A4,CATALOGO!I:I,TRUE)/60</f>
        <v>0</v>
      </c>
    </row>
    <row r="5" ht="22.5" customHeight="1">
      <c r="A5" s="7" t="s">
        <v>9</v>
      </c>
      <c r="B5" s="8">
        <f>COUNTIF(CATALOGO!A:A,A5)</f>
        <v>1</v>
      </c>
      <c r="C5" s="9">
        <f>SUMIF(CATALOGO!A:A,A5,CATALOGO!D:D)/60</f>
        <v>0.4833333333</v>
      </c>
      <c r="D5" s="5">
        <f>SUMIFS(CATALOGO!D:D,CATALOGO!A:A,A5,CATALOGO!J:J,"sin match")/60</f>
        <v>0</v>
      </c>
      <c r="E5" s="5">
        <f>(SUMIF(CATALOGO!A:A,A5,CATALOGO!D:D)-SUMIFS(CATALOGO!D:D,CATALOGO!A:A,A5,CATALOGO!J:J,"sin match"))/60</f>
        <v>0.4833333333</v>
      </c>
      <c r="F5" s="5">
        <f>SUMIFS(CATALOGO!D:D,CATALOGO!A:A,A5,CATALOGO!G:G,TRUE)/60</f>
        <v>0.4833333333</v>
      </c>
      <c r="G5" s="6">
        <f>SUMIFS(CATALOGO!D:D,CATALOGO!A:A,A5,CATALOGO!I:I,TRUE)/60</f>
        <v>0.4833333333</v>
      </c>
    </row>
    <row r="6" ht="22.5" customHeight="1">
      <c r="A6" s="3" t="s">
        <v>10</v>
      </c>
      <c r="B6" s="4">
        <f>COUNTIF(CATALOGO!A:A,A6)</f>
        <v>2</v>
      </c>
      <c r="C6" s="5">
        <f>SUMIF(CATALOGO!A:A,A6,CATALOGO!D:D)/60</f>
        <v>1.25</v>
      </c>
      <c r="D6" s="5">
        <f>SUMIFS(CATALOGO!D:D,CATALOGO!A:A,A6,CATALOGO!J:J,"sin match")/60</f>
        <v>1.25</v>
      </c>
      <c r="E6" s="5">
        <f>(SUMIF(CATALOGO!A:A,A6,CATALOGO!D:D)-SUMIFS(CATALOGO!D:D,CATALOGO!A:A,A6,CATALOGO!J:J,"sin match"))/60</f>
        <v>0</v>
      </c>
      <c r="F6" s="5">
        <f>SUMIFS(CATALOGO!D:D,CATALOGO!A:A,A6,CATALOGO!G:G,TRUE)/60</f>
        <v>1.25</v>
      </c>
      <c r="G6" s="6">
        <f>SUMIFS(CATALOGO!D:D,CATALOGO!A:A,A6,CATALOGO!I:I,TRUE)/60</f>
        <v>0</v>
      </c>
    </row>
    <row r="7" ht="22.5" customHeight="1">
      <c r="A7" s="7" t="s">
        <v>11</v>
      </c>
      <c r="B7" s="8">
        <f>COUNTIF(CATALOGO!A:A,A7)</f>
        <v>7</v>
      </c>
      <c r="C7" s="9">
        <f>SUMIF(CATALOGO!A:A,A7,CATALOGO!D:D)/60</f>
        <v>4.55</v>
      </c>
      <c r="D7" s="5">
        <f>SUMIFS(CATALOGO!D:D,CATALOGO!A:A,A7,CATALOGO!J:J,"sin match")/60</f>
        <v>0</v>
      </c>
      <c r="E7" s="5">
        <f>(SUMIF(CATALOGO!A:A,A7,CATALOGO!D:D)-SUMIFS(CATALOGO!D:D,CATALOGO!A:A,A7,CATALOGO!J:J,"sin match"))/60</f>
        <v>4.55</v>
      </c>
      <c r="F7" s="5">
        <f>SUMIFS(CATALOGO!D:D,CATALOGO!A:A,A7,CATALOGO!G:G,TRUE)/60</f>
        <v>4.55</v>
      </c>
      <c r="G7" s="6">
        <f>SUMIFS(CATALOGO!D:D,CATALOGO!A:A,A7,CATALOGO!I:I,TRUE)/60</f>
        <v>3.933333333</v>
      </c>
    </row>
    <row r="8" ht="22.5" customHeight="1">
      <c r="A8" s="3" t="s">
        <v>12</v>
      </c>
      <c r="B8" s="4">
        <f>COUNTIF(CATALOGO!A:A,A8)</f>
        <v>7</v>
      </c>
      <c r="C8" s="5">
        <f>SUMIF(CATALOGO!A:A,A8,CATALOGO!D:D)/60</f>
        <v>5.25</v>
      </c>
      <c r="D8" s="5">
        <f>SUMIFS(CATALOGO!D:D,CATALOGO!A:A,A8,CATALOGO!J:J,"sin match")/60</f>
        <v>1.1</v>
      </c>
      <c r="E8" s="5">
        <f>(SUMIF(CATALOGO!A:A,A8,CATALOGO!D:D)-SUMIFS(CATALOGO!D:D,CATALOGO!A:A,A8,CATALOGO!J:J,"sin match"))/60</f>
        <v>4.15</v>
      </c>
      <c r="F8" s="5">
        <f>SUMIFS(CATALOGO!D:D,CATALOGO!A:A,A8,CATALOGO!G:G,TRUE)/60</f>
        <v>5.25</v>
      </c>
      <c r="G8" s="6">
        <f>SUMIFS(CATALOGO!D:D,CATALOGO!A:A,A8,CATALOGO!I:I,TRUE)/60</f>
        <v>3.5</v>
      </c>
    </row>
    <row r="9" ht="22.5" customHeight="1">
      <c r="A9" s="7" t="s">
        <v>13</v>
      </c>
      <c r="B9" s="8">
        <f>COUNTIF(CATALOGO!A:A,A9)</f>
        <v>6</v>
      </c>
      <c r="C9" s="9">
        <f>SUMIF(CATALOGO!A:A,A9,CATALOGO!D:D)/60</f>
        <v>4.65</v>
      </c>
      <c r="D9" s="5">
        <f>SUMIFS(CATALOGO!D:D,CATALOGO!A:A,A9,CATALOGO!J:J,"sin match")/60</f>
        <v>0</v>
      </c>
      <c r="E9" s="5">
        <f>(SUMIF(CATALOGO!A:A,A9,CATALOGO!D:D)-SUMIFS(CATALOGO!D:D,CATALOGO!A:A,A9,CATALOGO!J:J,"sin match"))/60</f>
        <v>4.65</v>
      </c>
      <c r="F9" s="5">
        <f>SUMIFS(CATALOGO!D:D,CATALOGO!A:A,A9,CATALOGO!G:G,TRUE)/60</f>
        <v>4.65</v>
      </c>
      <c r="G9" s="6">
        <f>SUMIFS(CATALOGO!D:D,CATALOGO!A:A,A9,CATALOGO!I:I,TRUE)/60</f>
        <v>4.65</v>
      </c>
    </row>
    <row r="10" ht="22.5" customHeight="1">
      <c r="A10" s="3" t="s">
        <v>14</v>
      </c>
      <c r="B10" s="4">
        <f>COUNTIF(CATALOGO!A:A,A10)</f>
        <v>2</v>
      </c>
      <c r="C10" s="5">
        <f>SUMIF(CATALOGO!A:A,A10,CATALOGO!D:D)/60</f>
        <v>0.4333333333</v>
      </c>
      <c r="D10" s="5">
        <f>SUMIFS(CATALOGO!D:D,CATALOGO!A:A,A10,CATALOGO!J:J,"sin match")/60</f>
        <v>0.4333333333</v>
      </c>
      <c r="E10" s="5">
        <f>(SUMIF(CATALOGO!A:A,A10,CATALOGO!D:D)-SUMIFS(CATALOGO!D:D,CATALOGO!A:A,A10,CATALOGO!J:J,"sin match"))/60</f>
        <v>0</v>
      </c>
      <c r="F10" s="5">
        <f>SUMIFS(CATALOGO!D:D,CATALOGO!A:A,A10,CATALOGO!G:G,TRUE)/60</f>
        <v>0.4333333333</v>
      </c>
      <c r="G10" s="6">
        <f>SUMIFS(CATALOGO!D:D,CATALOGO!A:A,A10,CATALOGO!I:I,TRUE)/60</f>
        <v>0</v>
      </c>
    </row>
    <row r="11" ht="22.5" customHeight="1">
      <c r="A11" s="7" t="s">
        <v>15</v>
      </c>
      <c r="B11" s="8">
        <f>COUNTIF(CATALOGO!A:A,A11)</f>
        <v>5</v>
      </c>
      <c r="C11" s="9">
        <f>SUMIF(CATALOGO!A:A,A11,CATALOGO!D:D)/60</f>
        <v>4.066666667</v>
      </c>
      <c r="D11" s="5">
        <f>SUMIFS(CATALOGO!D:D,CATALOGO!A:A,A11,CATALOGO!J:J,"sin match")/60</f>
        <v>0</v>
      </c>
      <c r="E11" s="5">
        <f>(SUMIF(CATALOGO!A:A,A11,CATALOGO!D:D)-SUMIFS(CATALOGO!D:D,CATALOGO!A:A,A11,CATALOGO!J:J,"sin match"))/60</f>
        <v>4.066666667</v>
      </c>
      <c r="F11" s="5">
        <f>SUMIFS(CATALOGO!D:D,CATALOGO!A:A,A11,CATALOGO!G:G,TRUE)/60</f>
        <v>4.066666667</v>
      </c>
      <c r="G11" s="6">
        <f>SUMIFS(CATALOGO!D:D,CATALOGO!A:A,A11,CATALOGO!I:I,TRUE)/60</f>
        <v>4.066666667</v>
      </c>
    </row>
    <row r="12" ht="22.5" customHeight="1">
      <c r="A12" s="3" t="s">
        <v>16</v>
      </c>
      <c r="B12" s="4">
        <f>COUNTIF(CATALOGO!A:A,A12)</f>
        <v>7</v>
      </c>
      <c r="C12" s="5">
        <f>SUMIF(CATALOGO!A:A,A12,CATALOGO!D:D)/60</f>
        <v>4.216666667</v>
      </c>
      <c r="D12" s="5">
        <f>SUMIFS(CATALOGO!D:D,CATALOGO!A:A,A12,CATALOGO!J:J,"sin match")/60</f>
        <v>1.05</v>
      </c>
      <c r="E12" s="5">
        <f>(SUMIF(CATALOGO!A:A,A12,CATALOGO!D:D)-SUMIFS(CATALOGO!D:D,CATALOGO!A:A,A12,CATALOGO!J:J,"sin match"))/60</f>
        <v>3.166666667</v>
      </c>
      <c r="F12" s="5">
        <f>SUMIFS(CATALOGO!D:D,CATALOGO!A:A,A12,CATALOGO!G:G,TRUE)/60</f>
        <v>4.216666667</v>
      </c>
      <c r="G12" s="6">
        <f>SUMIFS(CATALOGO!D:D,CATALOGO!A:A,A12,CATALOGO!I:I,TRUE)/60</f>
        <v>1.766666667</v>
      </c>
    </row>
    <row r="13" ht="22.5" customHeight="1">
      <c r="A13" s="7" t="s">
        <v>17</v>
      </c>
      <c r="B13" s="8">
        <f>COUNTIF(CATALOGO!A:A,A13)</f>
        <v>8</v>
      </c>
      <c r="C13" s="9">
        <f>SUMIF(CATALOGO!A:A,A13,CATALOGO!D:D)/60</f>
        <v>5.583333333</v>
      </c>
      <c r="D13" s="5">
        <f>SUMIFS(CATALOGO!D:D,CATALOGO!A:A,A13,CATALOGO!J:J,"sin match")/60</f>
        <v>0.4</v>
      </c>
      <c r="E13" s="5">
        <f>(SUMIF(CATALOGO!A:A,A13,CATALOGO!D:D)-SUMIFS(CATALOGO!D:D,CATALOGO!A:A,A13,CATALOGO!J:J,"sin match"))/60</f>
        <v>5.183333333</v>
      </c>
      <c r="F13" s="5">
        <f>SUMIFS(CATALOGO!D:D,CATALOGO!A:A,A13,CATALOGO!G:G,TRUE)/60</f>
        <v>5.583333333</v>
      </c>
      <c r="G13" s="6">
        <f>SUMIFS(CATALOGO!D:D,CATALOGO!A:A,A13,CATALOGO!I:I,TRUE)/60</f>
        <v>0</v>
      </c>
    </row>
    <row r="14" ht="22.5" customHeight="1">
      <c r="A14" s="10" t="s">
        <v>18</v>
      </c>
      <c r="B14" s="11">
        <f>COUNTIF(CATALOGO!A:A,A14)</f>
        <v>2</v>
      </c>
      <c r="C14" s="12">
        <f>SUMIF(CATALOGO!A:A,A14,CATALOGO!D:D)/60</f>
        <v>344.1833333</v>
      </c>
      <c r="D14" s="12">
        <f>SUMIFS(CATALOGO!D:D,CATALOGO!A:A,A14,CATALOGO!M:M,"sin match")/60</f>
        <v>0</v>
      </c>
      <c r="E14" s="12">
        <f>(SUMIF(CATALOGO!A:A,A14,CATALOGO!D:D)-SUMIFS(CATALOGO!D:D,CATALOGO!A:A,A14,CATALOGO!M:M,"sin match"))/60</f>
        <v>344.1833333</v>
      </c>
      <c r="F14" s="12">
        <f>SUMIFS(CATALOGO!D:D,CATALOGO!A:A,A14,CATALOGO!I:I,TRUE)/60</f>
        <v>0</v>
      </c>
      <c r="G14" s="13">
        <f>SUMIFS(CATALOGO!D:D,CATALOGO!A:A,A14,CATALOGO!L:L,TRUE)/60</f>
        <v>0</v>
      </c>
    </row>
    <row r="15" ht="22.5" customHeight="1">
      <c r="A15" s="10" t="s">
        <v>19</v>
      </c>
      <c r="B15" s="11">
        <f>COUNTIF(CATALOGO!A:A,A15)</f>
        <v>34</v>
      </c>
      <c r="C15" s="12">
        <f>SUMIF(CATALOGO!A:A,A15,CATALOGO!D:D)/60</f>
        <v>138.6666667</v>
      </c>
      <c r="D15" s="12">
        <f>SUMIFS(CATALOGO!D:D,CATALOGO!A:A,A15,CATALOGO!M:M,"sin match")/60</f>
        <v>0</v>
      </c>
      <c r="E15" s="12">
        <f>(SUMIF(CATALOGO!A:A,A15,CATALOGO!D:D)-SUMIFS(CATALOGO!D:D,CATALOGO!A:A,A15,CATALOGO!M:M,"sin match"))/60</f>
        <v>138.6666667</v>
      </c>
      <c r="F15" s="12">
        <f>SUMIFS(CATALOGO!D:D,CATALOGO!A:A,A15,CATALOGO!I:I,TRUE)/60</f>
        <v>0</v>
      </c>
      <c r="G15" s="13">
        <f>SUMIFS(CATALOGO!D:D,CATALOGO!A:A,A15,CATALOGO!L:L,TRUE)/60</f>
        <v>0</v>
      </c>
    </row>
    <row r="16" ht="22.5" customHeight="1">
      <c r="A16" s="14"/>
      <c r="B16" s="15"/>
      <c r="C16" s="16"/>
      <c r="D16" s="16"/>
      <c r="E16" s="16"/>
      <c r="F16" s="16"/>
      <c r="G16" s="17"/>
    </row>
    <row r="17" ht="22.5" customHeight="1">
      <c r="A17" s="18" t="s">
        <v>20</v>
      </c>
      <c r="B17" s="19"/>
      <c r="C17" s="20">
        <f t="shared" ref="C17:E17" si="1">SUM(C2:C13)</f>
        <v>60.33333333</v>
      </c>
      <c r="D17" s="20">
        <f t="shared" si="1"/>
        <v>28.41666667</v>
      </c>
      <c r="E17" s="20">
        <f t="shared" si="1"/>
        <v>31.91666667</v>
      </c>
      <c r="F17" s="20">
        <f>SUM(F2:F12)</f>
        <v>54.75</v>
      </c>
      <c r="G17" s="21">
        <f>SUM(G2:G13)</f>
        <v>20.51666667</v>
      </c>
    </row>
    <row r="19">
      <c r="A19" s="22" t="s">
        <v>21</v>
      </c>
    </row>
  </sheetData>
  <dataValidations>
    <dataValidation type="custom" allowBlank="1" showDropDown="1" sqref="B2:G17">
      <formula1>AND(ISNUMBER(B2),(NOT(OR(NOT(ISERROR(DATEVALUE(B2))), AND(ISNUMBER(B2), LEFT(CELL("format", B2))="D")))))</formula1>
    </dataValidation>
  </dataValidations>
  <hyperlinks>
    <hyperlink r:id="rId1" ref="A19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  <col customWidth="1" min="8" max="8" width="31.38"/>
    <col customWidth="1" min="9" max="9" width="21.38"/>
  </cols>
  <sheetData>
    <row r="1">
      <c r="A1" s="23" t="s">
        <v>22</v>
      </c>
      <c r="B1" s="23" t="s">
        <v>23</v>
      </c>
      <c r="C1" s="23" t="s">
        <v>24</v>
      </c>
      <c r="D1" s="23" t="s">
        <v>25</v>
      </c>
      <c r="E1" s="23" t="s">
        <v>26</v>
      </c>
      <c r="F1" s="23" t="s">
        <v>27</v>
      </c>
      <c r="G1" s="23" t="s">
        <v>28</v>
      </c>
      <c r="H1" s="23" t="s">
        <v>29</v>
      </c>
      <c r="I1" s="23" t="s">
        <v>30</v>
      </c>
      <c r="J1" s="23" t="s">
        <v>31</v>
      </c>
      <c r="K1" s="23" t="s">
        <v>32</v>
      </c>
    </row>
    <row r="2">
      <c r="A2" s="24" t="s">
        <v>33</v>
      </c>
      <c r="B2" s="24" t="s">
        <v>34</v>
      </c>
      <c r="C2" s="24" t="s">
        <v>35</v>
      </c>
      <c r="D2" s="25">
        <v>222.0</v>
      </c>
      <c r="E2" s="25">
        <v>95.0</v>
      </c>
      <c r="F2" s="26" t="b">
        <v>0</v>
      </c>
      <c r="G2" s="26" t="b">
        <v>1</v>
      </c>
      <c r="H2" s="24"/>
      <c r="I2" s="26" t="b">
        <v>0</v>
      </c>
      <c r="J2" s="24" t="s">
        <v>36</v>
      </c>
      <c r="K2" s="24" t="s">
        <v>37</v>
      </c>
    </row>
    <row r="3">
      <c r="A3" s="24" t="s">
        <v>33</v>
      </c>
      <c r="B3" s="24" t="s">
        <v>38</v>
      </c>
      <c r="C3" s="24" t="s">
        <v>39</v>
      </c>
      <c r="D3" s="25">
        <v>276.0</v>
      </c>
      <c r="E3" s="25">
        <v>131.0</v>
      </c>
      <c r="F3" s="26" t="b">
        <v>0</v>
      </c>
      <c r="G3" s="26" t="b">
        <v>1</v>
      </c>
      <c r="H3" s="24"/>
      <c r="I3" s="26" t="b">
        <v>0</v>
      </c>
      <c r="J3" s="24" t="s">
        <v>36</v>
      </c>
      <c r="K3" s="24" t="s">
        <v>37</v>
      </c>
    </row>
    <row r="4">
      <c r="A4" s="24" t="s">
        <v>33</v>
      </c>
      <c r="B4" s="24" t="s">
        <v>40</v>
      </c>
      <c r="C4" s="24" t="s">
        <v>41</v>
      </c>
      <c r="D4" s="25">
        <v>190.0</v>
      </c>
      <c r="E4" s="25">
        <v>13.0</v>
      </c>
      <c r="F4" s="26" t="b">
        <v>0</v>
      </c>
      <c r="G4" s="26" t="b">
        <v>1</v>
      </c>
      <c r="H4" s="24"/>
      <c r="I4" s="26" t="b">
        <v>0</v>
      </c>
      <c r="J4" s="24" t="s">
        <v>36</v>
      </c>
      <c r="K4" s="24" t="s">
        <v>37</v>
      </c>
    </row>
    <row r="5">
      <c r="A5" s="24" t="s">
        <v>33</v>
      </c>
      <c r="B5" s="24" t="s">
        <v>42</v>
      </c>
      <c r="C5" s="24" t="s">
        <v>43</v>
      </c>
      <c r="D5" s="25">
        <v>270.0</v>
      </c>
      <c r="E5" s="25">
        <v>22.0</v>
      </c>
      <c r="F5" s="26" t="b">
        <v>0</v>
      </c>
      <c r="G5" s="26" t="b">
        <v>1</v>
      </c>
      <c r="H5" s="24"/>
      <c r="I5" s="26" t="b">
        <v>0</v>
      </c>
      <c r="J5" s="24" t="s">
        <v>36</v>
      </c>
      <c r="K5" s="24" t="s">
        <v>37</v>
      </c>
    </row>
    <row r="6">
      <c r="A6" s="24" t="s">
        <v>33</v>
      </c>
      <c r="B6" s="24" t="s">
        <v>44</v>
      </c>
      <c r="C6" s="24" t="s">
        <v>45</v>
      </c>
      <c r="D6" s="25">
        <v>196.0</v>
      </c>
      <c r="E6" s="25">
        <v>17.0</v>
      </c>
      <c r="F6" s="26" t="b">
        <v>0</v>
      </c>
      <c r="G6" s="26" t="b">
        <v>1</v>
      </c>
      <c r="H6" s="24"/>
      <c r="I6" s="26" t="b">
        <v>0</v>
      </c>
      <c r="J6" s="24" t="s">
        <v>36</v>
      </c>
      <c r="K6" s="24" t="s">
        <v>37</v>
      </c>
    </row>
    <row r="7">
      <c r="A7" s="24" t="s">
        <v>33</v>
      </c>
      <c r="B7" s="24" t="s">
        <v>46</v>
      </c>
      <c r="C7" s="24" t="s">
        <v>47</v>
      </c>
      <c r="D7" s="25">
        <v>66.0</v>
      </c>
      <c r="E7" s="25">
        <v>28.0</v>
      </c>
      <c r="F7" s="26" t="b">
        <v>0</v>
      </c>
      <c r="G7" s="26" t="b">
        <v>1</v>
      </c>
      <c r="H7" s="24"/>
      <c r="I7" s="26" t="b">
        <v>0</v>
      </c>
      <c r="J7" s="24" t="s">
        <v>36</v>
      </c>
      <c r="K7" s="24" t="s">
        <v>37</v>
      </c>
    </row>
    <row r="8">
      <c r="A8" s="24" t="s">
        <v>33</v>
      </c>
      <c r="B8" s="24" t="s">
        <v>48</v>
      </c>
      <c r="C8" s="24" t="s">
        <v>49</v>
      </c>
      <c r="D8" s="25">
        <v>59.0</v>
      </c>
      <c r="E8" s="25">
        <v>26.0</v>
      </c>
      <c r="F8" s="26" t="b">
        <v>0</v>
      </c>
      <c r="G8" s="26" t="b">
        <v>1</v>
      </c>
      <c r="H8" s="24"/>
      <c r="I8" s="26" t="b">
        <v>0</v>
      </c>
      <c r="J8" s="24" t="s">
        <v>36</v>
      </c>
      <c r="K8" s="24" t="s">
        <v>37</v>
      </c>
    </row>
    <row r="9">
      <c r="A9" s="24" t="s">
        <v>33</v>
      </c>
      <c r="B9" s="24" t="s">
        <v>50</v>
      </c>
      <c r="C9" s="24" t="s">
        <v>51</v>
      </c>
      <c r="D9" s="25">
        <v>60.0</v>
      </c>
      <c r="E9" s="25">
        <v>32.0</v>
      </c>
      <c r="F9" s="26" t="b">
        <v>0</v>
      </c>
      <c r="G9" s="26" t="b">
        <v>1</v>
      </c>
      <c r="H9" s="24"/>
      <c r="I9" s="26" t="b">
        <v>0</v>
      </c>
      <c r="J9" s="24" t="s">
        <v>36</v>
      </c>
      <c r="K9" s="24" t="s">
        <v>37</v>
      </c>
    </row>
    <row r="10">
      <c r="A10" s="24" t="s">
        <v>7</v>
      </c>
      <c r="B10" s="24" t="s">
        <v>52</v>
      </c>
      <c r="C10" s="24" t="s">
        <v>53</v>
      </c>
      <c r="D10" s="25">
        <v>52.0</v>
      </c>
      <c r="E10" s="25">
        <v>85.0</v>
      </c>
      <c r="F10" s="26" t="b">
        <v>0</v>
      </c>
      <c r="G10" s="26" t="b">
        <v>1</v>
      </c>
      <c r="H10" s="24" t="s">
        <v>54</v>
      </c>
      <c r="I10" s="26" t="b">
        <v>1</v>
      </c>
      <c r="J10" s="24" t="s">
        <v>55</v>
      </c>
      <c r="K10" s="24"/>
    </row>
    <row r="11">
      <c r="A11" s="24" t="s">
        <v>7</v>
      </c>
      <c r="B11" s="24" t="s">
        <v>56</v>
      </c>
      <c r="C11" s="24" t="s">
        <v>57</v>
      </c>
      <c r="D11" s="25">
        <v>44.0</v>
      </c>
      <c r="E11" s="25">
        <v>172.0</v>
      </c>
      <c r="F11" s="26" t="b">
        <v>0</v>
      </c>
      <c r="G11" s="26" t="b">
        <v>1</v>
      </c>
      <c r="H11" s="24" t="s">
        <v>58</v>
      </c>
      <c r="I11" s="26" t="b">
        <v>1</v>
      </c>
      <c r="J11" s="24" t="s">
        <v>55</v>
      </c>
      <c r="K11" s="24"/>
    </row>
    <row r="12">
      <c r="A12" s="24" t="s">
        <v>7</v>
      </c>
      <c r="B12" s="24" t="s">
        <v>59</v>
      </c>
      <c r="C12" s="24" t="s">
        <v>60</v>
      </c>
      <c r="D12" s="25">
        <v>31.0</v>
      </c>
      <c r="E12" s="25">
        <v>130.0</v>
      </c>
      <c r="F12" s="26" t="b">
        <v>0</v>
      </c>
      <c r="G12" s="26" t="b">
        <v>1</v>
      </c>
      <c r="H12" s="24" t="s">
        <v>61</v>
      </c>
      <c r="I12" s="26" t="b">
        <v>1</v>
      </c>
      <c r="J12" s="24" t="s">
        <v>55</v>
      </c>
      <c r="K12" s="24"/>
    </row>
    <row r="13">
      <c r="A13" s="24" t="s">
        <v>8</v>
      </c>
      <c r="B13" s="24" t="s">
        <v>62</v>
      </c>
      <c r="C13" s="24" t="s">
        <v>63</v>
      </c>
      <c r="D13" s="25">
        <v>50.0</v>
      </c>
      <c r="E13" s="25">
        <v>334.0</v>
      </c>
      <c r="F13" s="26" t="b">
        <v>0</v>
      </c>
      <c r="G13" s="26" t="b">
        <v>1</v>
      </c>
      <c r="H13" s="24" t="s">
        <v>64</v>
      </c>
      <c r="I13" s="26" t="b">
        <v>0</v>
      </c>
      <c r="J13" s="24" t="s">
        <v>55</v>
      </c>
      <c r="K13" s="24"/>
    </row>
    <row r="14">
      <c r="A14" s="24" t="s">
        <v>8</v>
      </c>
      <c r="B14" s="24" t="s">
        <v>65</v>
      </c>
      <c r="C14" s="24" t="s">
        <v>66</v>
      </c>
      <c r="D14" s="25">
        <v>22.0</v>
      </c>
      <c r="E14" s="25">
        <v>302.0</v>
      </c>
      <c r="F14" s="26" t="b">
        <v>0</v>
      </c>
      <c r="G14" s="26" t="b">
        <v>1</v>
      </c>
      <c r="H14" s="24" t="s">
        <v>67</v>
      </c>
      <c r="I14" s="26" t="b">
        <v>0</v>
      </c>
      <c r="J14" s="24" t="s">
        <v>55</v>
      </c>
      <c r="K14" s="24"/>
    </row>
    <row r="15">
      <c r="A15" s="24" t="s">
        <v>8</v>
      </c>
      <c r="B15" s="24" t="s">
        <v>68</v>
      </c>
      <c r="C15" s="24" t="s">
        <v>69</v>
      </c>
      <c r="D15" s="25">
        <v>39.0</v>
      </c>
      <c r="E15" s="25">
        <v>225.0</v>
      </c>
      <c r="F15" s="26" t="b">
        <v>0</v>
      </c>
      <c r="G15" s="26" t="b">
        <v>1</v>
      </c>
      <c r="H15" s="24"/>
      <c r="I15" s="26" t="b">
        <v>0</v>
      </c>
      <c r="J15" s="24" t="s">
        <v>36</v>
      </c>
      <c r="K15" s="24"/>
    </row>
    <row r="16">
      <c r="A16" s="24" t="s">
        <v>8</v>
      </c>
      <c r="B16" s="24" t="s">
        <v>70</v>
      </c>
      <c r="C16" s="24" t="s">
        <v>71</v>
      </c>
      <c r="D16" s="25">
        <v>14.0</v>
      </c>
      <c r="E16" s="25">
        <v>168.0</v>
      </c>
      <c r="F16" s="26" t="b">
        <v>0</v>
      </c>
      <c r="G16" s="26" t="b">
        <v>1</v>
      </c>
      <c r="H16" s="24"/>
      <c r="I16" s="26" t="b">
        <v>0</v>
      </c>
      <c r="J16" s="24" t="s">
        <v>36</v>
      </c>
      <c r="K16" s="24"/>
    </row>
    <row r="17">
      <c r="A17" s="24" t="s">
        <v>8</v>
      </c>
      <c r="B17" s="24" t="s">
        <v>72</v>
      </c>
      <c r="C17" s="24" t="s">
        <v>73</v>
      </c>
      <c r="D17" s="25">
        <v>34.0</v>
      </c>
      <c r="E17" s="25">
        <v>728.0</v>
      </c>
      <c r="F17" s="26" t="b">
        <v>0</v>
      </c>
      <c r="G17" s="26" t="b">
        <v>1</v>
      </c>
      <c r="H17" s="24" t="s">
        <v>74</v>
      </c>
      <c r="I17" s="26" t="b">
        <v>0</v>
      </c>
      <c r="J17" s="24" t="s">
        <v>55</v>
      </c>
      <c r="K17" s="24"/>
    </row>
    <row r="18">
      <c r="A18" s="24" t="s">
        <v>8</v>
      </c>
      <c r="B18" s="24" t="s">
        <v>75</v>
      </c>
      <c r="C18" s="24" t="s">
        <v>76</v>
      </c>
      <c r="D18" s="25">
        <v>21.0</v>
      </c>
      <c r="E18" s="25">
        <v>510.0</v>
      </c>
      <c r="F18" s="26" t="b">
        <v>0</v>
      </c>
      <c r="G18" s="26" t="b">
        <v>1</v>
      </c>
      <c r="H18" s="24"/>
      <c r="I18" s="26" t="b">
        <v>0</v>
      </c>
      <c r="J18" s="24" t="s">
        <v>36</v>
      </c>
      <c r="K18" s="24"/>
    </row>
    <row r="19">
      <c r="A19" s="24" t="s">
        <v>8</v>
      </c>
      <c r="B19" s="24" t="s">
        <v>77</v>
      </c>
      <c r="C19" s="24" t="s">
        <v>78</v>
      </c>
      <c r="D19" s="25">
        <v>38.0</v>
      </c>
      <c r="E19" s="25">
        <v>279.0</v>
      </c>
      <c r="F19" s="26" t="b">
        <v>0</v>
      </c>
      <c r="G19" s="26" t="b">
        <v>1</v>
      </c>
      <c r="H19" s="24"/>
      <c r="I19" s="26" t="b">
        <v>0</v>
      </c>
      <c r="J19" s="24" t="s">
        <v>36</v>
      </c>
      <c r="K19" s="24"/>
    </row>
    <row r="20">
      <c r="A20" s="24" t="s">
        <v>8</v>
      </c>
      <c r="B20" s="24" t="s">
        <v>79</v>
      </c>
      <c r="C20" s="24" t="s">
        <v>80</v>
      </c>
      <c r="D20" s="25">
        <v>25.0</v>
      </c>
      <c r="E20" s="25">
        <v>162.0</v>
      </c>
      <c r="F20" s="26" t="b">
        <v>0</v>
      </c>
      <c r="G20" s="26" t="b">
        <v>1</v>
      </c>
      <c r="H20" s="24" t="s">
        <v>81</v>
      </c>
      <c r="I20" s="26" t="b">
        <v>0</v>
      </c>
      <c r="J20" s="24" t="s">
        <v>55</v>
      </c>
      <c r="K20" s="24"/>
    </row>
    <row r="21">
      <c r="A21" s="24" t="s">
        <v>8</v>
      </c>
      <c r="B21" s="24" t="s">
        <v>82</v>
      </c>
      <c r="C21" s="24" t="s">
        <v>83</v>
      </c>
      <c r="D21" s="25">
        <v>21.0</v>
      </c>
      <c r="E21" s="25">
        <v>275.0</v>
      </c>
      <c r="F21" s="26" t="b">
        <v>0</v>
      </c>
      <c r="G21" s="26" t="b">
        <v>1</v>
      </c>
      <c r="H21" s="24" t="s">
        <v>84</v>
      </c>
      <c r="I21" s="26" t="b">
        <v>0</v>
      </c>
      <c r="J21" s="24" t="s">
        <v>55</v>
      </c>
      <c r="K21" s="24"/>
    </row>
    <row r="22">
      <c r="A22" s="24" t="s">
        <v>8</v>
      </c>
      <c r="B22" s="24" t="s">
        <v>85</v>
      </c>
      <c r="C22" s="24" t="s">
        <v>86</v>
      </c>
      <c r="D22" s="25">
        <v>33.0</v>
      </c>
      <c r="E22" s="25">
        <v>108.0</v>
      </c>
      <c r="F22" s="26" t="b">
        <v>0</v>
      </c>
      <c r="G22" s="26" t="b">
        <v>1</v>
      </c>
      <c r="H22" s="24" t="s">
        <v>87</v>
      </c>
      <c r="I22" s="26" t="b">
        <v>0</v>
      </c>
      <c r="J22" s="24" t="s">
        <v>55</v>
      </c>
      <c r="K22" s="24"/>
    </row>
    <row r="23">
      <c r="A23" s="24" t="s">
        <v>8</v>
      </c>
      <c r="B23" s="24" t="s">
        <v>88</v>
      </c>
      <c r="C23" s="24" t="s">
        <v>89</v>
      </c>
      <c r="D23" s="25">
        <v>28.0</v>
      </c>
      <c r="E23" s="25">
        <v>922.0</v>
      </c>
      <c r="F23" s="26" t="b">
        <v>0</v>
      </c>
      <c r="G23" s="26" t="b">
        <v>1</v>
      </c>
      <c r="H23" s="24" t="s">
        <v>90</v>
      </c>
      <c r="I23" s="26" t="b">
        <v>0</v>
      </c>
      <c r="J23" s="24" t="s">
        <v>55</v>
      </c>
      <c r="K23" s="24"/>
    </row>
    <row r="24">
      <c r="A24" s="24" t="s">
        <v>9</v>
      </c>
      <c r="B24" s="24" t="s">
        <v>91</v>
      </c>
      <c r="C24" s="24" t="s">
        <v>92</v>
      </c>
      <c r="D24" s="25">
        <v>29.0</v>
      </c>
      <c r="E24" s="25">
        <v>148.0</v>
      </c>
      <c r="F24" s="26" t="b">
        <v>0</v>
      </c>
      <c r="G24" s="26" t="b">
        <v>1</v>
      </c>
      <c r="H24" s="24" t="s">
        <v>93</v>
      </c>
      <c r="I24" s="26" t="b">
        <v>1</v>
      </c>
      <c r="J24" s="24" t="s">
        <v>55</v>
      </c>
      <c r="K24" s="24"/>
    </row>
    <row r="25">
      <c r="A25" s="24" t="s">
        <v>10</v>
      </c>
      <c r="B25" s="24" t="s">
        <v>94</v>
      </c>
      <c r="C25" s="24" t="s">
        <v>95</v>
      </c>
      <c r="D25" s="25">
        <v>50.0</v>
      </c>
      <c r="E25" s="25">
        <v>104.0</v>
      </c>
      <c r="F25" s="26" t="b">
        <v>0</v>
      </c>
      <c r="G25" s="26" t="b">
        <v>1</v>
      </c>
      <c r="H25" s="24"/>
      <c r="I25" s="26" t="b">
        <v>0</v>
      </c>
      <c r="J25" s="24" t="s">
        <v>36</v>
      </c>
      <c r="K25" s="24"/>
    </row>
    <row r="26">
      <c r="A26" s="24" t="s">
        <v>10</v>
      </c>
      <c r="B26" s="24" t="s">
        <v>96</v>
      </c>
      <c r="C26" s="24" t="s">
        <v>97</v>
      </c>
      <c r="D26" s="25">
        <v>25.0</v>
      </c>
      <c r="E26" s="25">
        <v>28.0</v>
      </c>
      <c r="F26" s="26" t="b">
        <v>0</v>
      </c>
      <c r="G26" s="26" t="b">
        <v>1</v>
      </c>
      <c r="H26" s="24"/>
      <c r="I26" s="26" t="b">
        <v>0</v>
      </c>
      <c r="J26" s="24" t="s">
        <v>36</v>
      </c>
      <c r="K26" s="24"/>
    </row>
    <row r="27">
      <c r="A27" s="24" t="s">
        <v>11</v>
      </c>
      <c r="B27" s="24" t="s">
        <v>98</v>
      </c>
      <c r="C27" s="24" t="s">
        <v>99</v>
      </c>
      <c r="D27" s="25">
        <v>40.0</v>
      </c>
      <c r="E27" s="25">
        <v>99.0</v>
      </c>
      <c r="F27" s="26" t="b">
        <v>0</v>
      </c>
      <c r="G27" s="26" t="b">
        <v>1</v>
      </c>
      <c r="H27" s="24" t="s">
        <v>100</v>
      </c>
      <c r="I27" s="26" t="b">
        <v>1</v>
      </c>
      <c r="J27" s="24" t="s">
        <v>55</v>
      </c>
      <c r="K27" s="24"/>
    </row>
    <row r="28">
      <c r="A28" s="24" t="s">
        <v>11</v>
      </c>
      <c r="B28" s="24" t="s">
        <v>101</v>
      </c>
      <c r="C28" s="24" t="s">
        <v>102</v>
      </c>
      <c r="D28" s="25">
        <v>46.0</v>
      </c>
      <c r="E28" s="25">
        <v>54.0</v>
      </c>
      <c r="F28" s="26" t="b">
        <v>0</v>
      </c>
      <c r="G28" s="26" t="b">
        <v>1</v>
      </c>
      <c r="H28" s="24" t="s">
        <v>103</v>
      </c>
      <c r="I28" s="26" t="b">
        <v>1</v>
      </c>
      <c r="J28" s="24" t="s">
        <v>55</v>
      </c>
      <c r="K28" s="24"/>
    </row>
    <row r="29">
      <c r="A29" s="24" t="s">
        <v>11</v>
      </c>
      <c r="B29" s="24" t="s">
        <v>104</v>
      </c>
      <c r="C29" s="24" t="s">
        <v>105</v>
      </c>
      <c r="D29" s="25">
        <v>57.0</v>
      </c>
      <c r="E29" s="25">
        <v>275.0</v>
      </c>
      <c r="F29" s="26" t="b">
        <v>0</v>
      </c>
      <c r="G29" s="26" t="b">
        <v>1</v>
      </c>
      <c r="H29" s="24" t="s">
        <v>106</v>
      </c>
      <c r="I29" s="26" t="b">
        <v>1</v>
      </c>
      <c r="J29" s="24" t="s">
        <v>55</v>
      </c>
      <c r="K29" s="24"/>
    </row>
    <row r="30">
      <c r="A30" s="24" t="s">
        <v>11</v>
      </c>
      <c r="B30" s="24" t="s">
        <v>107</v>
      </c>
      <c r="C30" s="24" t="s">
        <v>108</v>
      </c>
      <c r="D30" s="25">
        <v>37.0</v>
      </c>
      <c r="E30" s="25">
        <v>62.0</v>
      </c>
      <c r="F30" s="26" t="b">
        <v>0</v>
      </c>
      <c r="G30" s="26" t="b">
        <v>1</v>
      </c>
      <c r="H30" s="24" t="s">
        <v>109</v>
      </c>
      <c r="I30" s="26" t="b">
        <v>1</v>
      </c>
      <c r="J30" s="24" t="s">
        <v>55</v>
      </c>
      <c r="K30" s="24"/>
    </row>
    <row r="31">
      <c r="A31" s="24" t="s">
        <v>11</v>
      </c>
      <c r="B31" s="24" t="s">
        <v>110</v>
      </c>
      <c r="C31" s="24" t="s">
        <v>111</v>
      </c>
      <c r="D31" s="25">
        <v>29.0</v>
      </c>
      <c r="E31" s="25">
        <v>60.0</v>
      </c>
      <c r="F31" s="26" t="b">
        <v>0</v>
      </c>
      <c r="G31" s="26" t="b">
        <v>1</v>
      </c>
      <c r="H31" s="24" t="s">
        <v>112</v>
      </c>
      <c r="I31" s="26" t="b">
        <v>1</v>
      </c>
      <c r="J31" s="24" t="s">
        <v>55</v>
      </c>
      <c r="K31" s="24"/>
    </row>
    <row r="32">
      <c r="A32" s="24" t="s">
        <v>11</v>
      </c>
      <c r="B32" s="24" t="s">
        <v>113</v>
      </c>
      <c r="C32" s="24" t="s">
        <v>114</v>
      </c>
      <c r="D32" s="25">
        <v>27.0</v>
      </c>
      <c r="E32" s="25">
        <v>37.0</v>
      </c>
      <c r="F32" s="26" t="b">
        <v>0</v>
      </c>
      <c r="G32" s="26" t="b">
        <v>1</v>
      </c>
      <c r="H32" s="24" t="s">
        <v>115</v>
      </c>
      <c r="I32" s="26" t="b">
        <v>1</v>
      </c>
      <c r="J32" s="24" t="s">
        <v>55</v>
      </c>
      <c r="K32" s="24"/>
    </row>
    <row r="33">
      <c r="A33" s="24" t="s">
        <v>11</v>
      </c>
      <c r="B33" s="24" t="s">
        <v>116</v>
      </c>
      <c r="C33" s="24" t="s">
        <v>117</v>
      </c>
      <c r="D33" s="25">
        <v>37.0</v>
      </c>
      <c r="E33" s="25">
        <v>152.0</v>
      </c>
      <c r="F33" s="26" t="b">
        <v>0</v>
      </c>
      <c r="G33" s="26" t="b">
        <v>1</v>
      </c>
      <c r="H33" s="24" t="s">
        <v>118</v>
      </c>
      <c r="I33" s="26" t="b">
        <v>0</v>
      </c>
      <c r="J33" s="24" t="s">
        <v>55</v>
      </c>
      <c r="K33" s="24"/>
    </row>
    <row r="34">
      <c r="A34" s="24" t="s">
        <v>12</v>
      </c>
      <c r="B34" s="24" t="s">
        <v>119</v>
      </c>
      <c r="C34" s="24" t="s">
        <v>120</v>
      </c>
      <c r="D34" s="25">
        <v>45.0</v>
      </c>
      <c r="E34" s="24"/>
      <c r="F34" s="26" t="b">
        <v>0</v>
      </c>
      <c r="G34" s="26" t="b">
        <v>1</v>
      </c>
      <c r="H34" s="24" t="s">
        <v>121</v>
      </c>
      <c r="I34" s="26" t="b">
        <v>1</v>
      </c>
      <c r="J34" s="24" t="s">
        <v>55</v>
      </c>
      <c r="K34" s="24"/>
    </row>
    <row r="35">
      <c r="A35" s="24" t="s">
        <v>12</v>
      </c>
      <c r="B35" s="24" t="s">
        <v>122</v>
      </c>
      <c r="C35" s="24" t="s">
        <v>123</v>
      </c>
      <c r="D35" s="25">
        <v>39.0</v>
      </c>
      <c r="E35" s="24"/>
      <c r="F35" s="26" t="b">
        <v>0</v>
      </c>
      <c r="G35" s="26" t="b">
        <v>1</v>
      </c>
      <c r="H35" s="24" t="s">
        <v>124</v>
      </c>
      <c r="I35" s="26" t="b">
        <v>0</v>
      </c>
      <c r="J35" s="24" t="s">
        <v>55</v>
      </c>
      <c r="K35" s="24"/>
    </row>
    <row r="36">
      <c r="A36" s="24" t="s">
        <v>12</v>
      </c>
      <c r="B36" s="24" t="s">
        <v>125</v>
      </c>
      <c r="C36" s="24" t="s">
        <v>126</v>
      </c>
      <c r="D36" s="25">
        <v>37.0</v>
      </c>
      <c r="E36" s="24"/>
      <c r="F36" s="26" t="b">
        <v>0</v>
      </c>
      <c r="G36" s="26" t="b">
        <v>1</v>
      </c>
      <c r="H36" s="24" t="s">
        <v>127</v>
      </c>
      <c r="I36" s="26" t="b">
        <v>1</v>
      </c>
      <c r="J36" s="24" t="s">
        <v>55</v>
      </c>
      <c r="K36" s="24"/>
    </row>
    <row r="37">
      <c r="A37" s="24" t="s">
        <v>12</v>
      </c>
      <c r="B37" s="24" t="s">
        <v>128</v>
      </c>
      <c r="C37" s="24" t="s">
        <v>129</v>
      </c>
      <c r="D37" s="25">
        <v>44.0</v>
      </c>
      <c r="E37" s="24"/>
      <c r="F37" s="26" t="b">
        <v>0</v>
      </c>
      <c r="G37" s="26" t="b">
        <v>1</v>
      </c>
      <c r="H37" s="24" t="s">
        <v>130</v>
      </c>
      <c r="I37" s="26" t="b">
        <v>1</v>
      </c>
      <c r="J37" s="24" t="s">
        <v>55</v>
      </c>
      <c r="K37" s="24"/>
    </row>
    <row r="38">
      <c r="A38" s="24" t="s">
        <v>12</v>
      </c>
      <c r="B38" s="24" t="s">
        <v>131</v>
      </c>
      <c r="C38" s="24" t="s">
        <v>132</v>
      </c>
      <c r="D38" s="25">
        <v>31.0</v>
      </c>
      <c r="E38" s="24"/>
      <c r="F38" s="26" t="b">
        <v>0</v>
      </c>
      <c r="G38" s="26" t="b">
        <v>1</v>
      </c>
      <c r="H38" s="24" t="s">
        <v>133</v>
      </c>
      <c r="I38" s="26" t="b">
        <v>1</v>
      </c>
      <c r="J38" s="24" t="s">
        <v>55</v>
      </c>
      <c r="K38" s="24"/>
    </row>
    <row r="39">
      <c r="A39" s="24" t="s">
        <v>12</v>
      </c>
      <c r="B39" s="24" t="s">
        <v>134</v>
      </c>
      <c r="C39" s="24" t="s">
        <v>135</v>
      </c>
      <c r="D39" s="25">
        <v>53.0</v>
      </c>
      <c r="E39" s="24"/>
      <c r="F39" s="26" t="b">
        <v>0</v>
      </c>
      <c r="G39" s="26" t="b">
        <v>1</v>
      </c>
      <c r="H39" s="24" t="s">
        <v>136</v>
      </c>
      <c r="I39" s="26" t="b">
        <v>1</v>
      </c>
      <c r="J39" s="24" t="s">
        <v>55</v>
      </c>
      <c r="K39" s="24"/>
    </row>
    <row r="40">
      <c r="A40" s="24" t="s">
        <v>12</v>
      </c>
      <c r="B40" s="24" t="s">
        <v>137</v>
      </c>
      <c r="C40" s="24" t="s">
        <v>138</v>
      </c>
      <c r="D40" s="25">
        <v>66.0</v>
      </c>
      <c r="E40" s="24"/>
      <c r="F40" s="26" t="b">
        <v>0</v>
      </c>
      <c r="G40" s="26" t="b">
        <v>1</v>
      </c>
      <c r="H40" s="24"/>
      <c r="I40" s="26" t="b">
        <v>0</v>
      </c>
      <c r="J40" s="24" t="s">
        <v>36</v>
      </c>
      <c r="K40" s="24"/>
    </row>
    <row r="41">
      <c r="A41" s="24" t="s">
        <v>13</v>
      </c>
      <c r="B41" s="24" t="s">
        <v>139</v>
      </c>
      <c r="C41" s="24" t="s">
        <v>140</v>
      </c>
      <c r="D41" s="25">
        <v>64.0</v>
      </c>
      <c r="E41" s="25">
        <v>216.0</v>
      </c>
      <c r="F41" s="26" t="b">
        <v>0</v>
      </c>
      <c r="G41" s="26" t="b">
        <v>1</v>
      </c>
      <c r="H41" s="24" t="s">
        <v>141</v>
      </c>
      <c r="I41" s="26" t="b">
        <v>1</v>
      </c>
      <c r="J41" s="24" t="s">
        <v>55</v>
      </c>
      <c r="K41" s="24"/>
    </row>
    <row r="42">
      <c r="A42" s="24" t="s">
        <v>13</v>
      </c>
      <c r="B42" s="24" t="s">
        <v>142</v>
      </c>
      <c r="C42" s="24" t="s">
        <v>143</v>
      </c>
      <c r="D42" s="25">
        <v>56.0</v>
      </c>
      <c r="E42" s="25">
        <v>141.0</v>
      </c>
      <c r="F42" s="26" t="b">
        <v>0</v>
      </c>
      <c r="G42" s="26" t="b">
        <v>1</v>
      </c>
      <c r="H42" s="24" t="s">
        <v>144</v>
      </c>
      <c r="I42" s="26" t="b">
        <v>1</v>
      </c>
      <c r="J42" s="24" t="s">
        <v>55</v>
      </c>
      <c r="K42" s="24"/>
    </row>
    <row r="43">
      <c r="A43" s="24" t="s">
        <v>13</v>
      </c>
      <c r="B43" s="24" t="s">
        <v>145</v>
      </c>
      <c r="C43" s="24" t="s">
        <v>146</v>
      </c>
      <c r="D43" s="25">
        <v>33.0</v>
      </c>
      <c r="E43" s="25">
        <v>67.0</v>
      </c>
      <c r="F43" s="26" t="b">
        <v>0</v>
      </c>
      <c r="G43" s="26" t="b">
        <v>1</v>
      </c>
      <c r="H43" s="24" t="s">
        <v>147</v>
      </c>
      <c r="I43" s="26" t="b">
        <v>1</v>
      </c>
      <c r="J43" s="24" t="s">
        <v>55</v>
      </c>
      <c r="K43" s="24"/>
    </row>
    <row r="44">
      <c r="A44" s="24" t="s">
        <v>13</v>
      </c>
      <c r="B44" s="24" t="s">
        <v>148</v>
      </c>
      <c r="C44" s="24" t="s">
        <v>149</v>
      </c>
      <c r="D44" s="25">
        <v>27.0</v>
      </c>
      <c r="E44" s="25">
        <v>61.0</v>
      </c>
      <c r="F44" s="26" t="b">
        <v>0</v>
      </c>
      <c r="G44" s="26" t="b">
        <v>1</v>
      </c>
      <c r="H44" s="24" t="s">
        <v>150</v>
      </c>
      <c r="I44" s="26" t="b">
        <v>1</v>
      </c>
      <c r="J44" s="24" t="s">
        <v>55</v>
      </c>
      <c r="K44" s="24"/>
    </row>
    <row r="45">
      <c r="A45" s="24" t="s">
        <v>13</v>
      </c>
      <c r="B45" s="24" t="s">
        <v>151</v>
      </c>
      <c r="C45" s="24" t="s">
        <v>152</v>
      </c>
      <c r="D45" s="25">
        <v>47.0</v>
      </c>
      <c r="E45" s="25">
        <v>118.0</v>
      </c>
      <c r="F45" s="26" t="b">
        <v>0</v>
      </c>
      <c r="G45" s="26" t="b">
        <v>1</v>
      </c>
      <c r="H45" s="24" t="s">
        <v>153</v>
      </c>
      <c r="I45" s="26" t="b">
        <v>1</v>
      </c>
      <c r="J45" s="24" t="s">
        <v>55</v>
      </c>
      <c r="K45" s="24"/>
    </row>
    <row r="46">
      <c r="A46" s="24" t="s">
        <v>13</v>
      </c>
      <c r="B46" s="24" t="s">
        <v>154</v>
      </c>
      <c r="C46" s="24" t="s">
        <v>155</v>
      </c>
      <c r="D46" s="25">
        <v>52.0</v>
      </c>
      <c r="E46" s="25">
        <v>139.0</v>
      </c>
      <c r="F46" s="26" t="b">
        <v>0</v>
      </c>
      <c r="G46" s="26" t="b">
        <v>1</v>
      </c>
      <c r="H46" s="24" t="s">
        <v>156</v>
      </c>
      <c r="I46" s="26" t="b">
        <v>1</v>
      </c>
      <c r="J46" s="24" t="s">
        <v>55</v>
      </c>
      <c r="K46" s="24"/>
    </row>
    <row r="47">
      <c r="A47" s="24" t="s">
        <v>14</v>
      </c>
      <c r="B47" s="24" t="s">
        <v>157</v>
      </c>
      <c r="C47" s="24" t="s">
        <v>158</v>
      </c>
      <c r="D47" s="25">
        <v>5.0</v>
      </c>
      <c r="E47" s="25">
        <v>135.0</v>
      </c>
      <c r="F47" s="26" t="b">
        <v>0</v>
      </c>
      <c r="G47" s="26" t="b">
        <v>1</v>
      </c>
      <c r="H47" s="24"/>
      <c r="I47" s="26" t="b">
        <v>0</v>
      </c>
      <c r="J47" s="24" t="s">
        <v>36</v>
      </c>
      <c r="K47" s="24"/>
    </row>
    <row r="48">
      <c r="A48" s="24" t="s">
        <v>14</v>
      </c>
      <c r="B48" s="24" t="s">
        <v>159</v>
      </c>
      <c r="C48" s="24" t="s">
        <v>160</v>
      </c>
      <c r="D48" s="25">
        <v>21.0</v>
      </c>
      <c r="E48" s="25">
        <v>773.0</v>
      </c>
      <c r="F48" s="26" t="b">
        <v>0</v>
      </c>
      <c r="G48" s="26" t="b">
        <v>1</v>
      </c>
      <c r="H48" s="24"/>
      <c r="I48" s="26" t="b">
        <v>0</v>
      </c>
      <c r="J48" s="24" t="s">
        <v>36</v>
      </c>
      <c r="K48" s="24"/>
    </row>
    <row r="49">
      <c r="A49" s="24" t="s">
        <v>15</v>
      </c>
      <c r="B49" s="24" t="s">
        <v>161</v>
      </c>
      <c r="C49" s="24" t="s">
        <v>162</v>
      </c>
      <c r="D49" s="25">
        <v>24.0</v>
      </c>
      <c r="E49" s="25">
        <v>164.0</v>
      </c>
      <c r="F49" s="26" t="b">
        <v>0</v>
      </c>
      <c r="G49" s="26" t="b">
        <v>1</v>
      </c>
      <c r="H49" s="24" t="s">
        <v>163</v>
      </c>
      <c r="I49" s="26" t="b">
        <v>1</v>
      </c>
      <c r="J49" s="24" t="s">
        <v>55</v>
      </c>
      <c r="K49" s="24"/>
    </row>
    <row r="50">
      <c r="A50" s="24" t="s">
        <v>15</v>
      </c>
      <c r="B50" s="24" t="s">
        <v>164</v>
      </c>
      <c r="C50" s="24" t="s">
        <v>165</v>
      </c>
      <c r="D50" s="25">
        <v>41.0</v>
      </c>
      <c r="E50" s="25">
        <v>104.0</v>
      </c>
      <c r="F50" s="26" t="b">
        <v>0</v>
      </c>
      <c r="G50" s="26" t="b">
        <v>1</v>
      </c>
      <c r="H50" s="24" t="s">
        <v>166</v>
      </c>
      <c r="I50" s="26" t="b">
        <v>1</v>
      </c>
      <c r="J50" s="24" t="s">
        <v>55</v>
      </c>
      <c r="K50" s="24"/>
    </row>
    <row r="51">
      <c r="A51" s="24" t="s">
        <v>15</v>
      </c>
      <c r="B51" s="24" t="s">
        <v>167</v>
      </c>
      <c r="C51" s="24" t="s">
        <v>168</v>
      </c>
      <c r="D51" s="25">
        <v>55.0</v>
      </c>
      <c r="E51" s="25">
        <v>74.0</v>
      </c>
      <c r="F51" s="26" t="b">
        <v>0</v>
      </c>
      <c r="G51" s="26" t="b">
        <v>1</v>
      </c>
      <c r="H51" s="24" t="s">
        <v>169</v>
      </c>
      <c r="I51" s="26" t="b">
        <v>1</v>
      </c>
      <c r="J51" s="24" t="s">
        <v>55</v>
      </c>
      <c r="K51" s="24"/>
    </row>
    <row r="52">
      <c r="A52" s="24" t="s">
        <v>15</v>
      </c>
      <c r="B52" s="24" t="s">
        <v>170</v>
      </c>
      <c r="C52" s="24" t="s">
        <v>171</v>
      </c>
      <c r="D52" s="25">
        <v>68.0</v>
      </c>
      <c r="E52" s="25">
        <v>106.0</v>
      </c>
      <c r="F52" s="26" t="b">
        <v>0</v>
      </c>
      <c r="G52" s="26" t="b">
        <v>1</v>
      </c>
      <c r="H52" s="24" t="s">
        <v>172</v>
      </c>
      <c r="I52" s="26" t="b">
        <v>1</v>
      </c>
      <c r="J52" s="24" t="s">
        <v>55</v>
      </c>
      <c r="K52" s="24"/>
    </row>
    <row r="53">
      <c r="A53" s="24" t="s">
        <v>15</v>
      </c>
      <c r="B53" s="24" t="s">
        <v>173</v>
      </c>
      <c r="C53" s="24" t="s">
        <v>174</v>
      </c>
      <c r="D53" s="25">
        <v>56.0</v>
      </c>
      <c r="E53" s="25">
        <v>614.0</v>
      </c>
      <c r="F53" s="26" t="b">
        <v>0</v>
      </c>
      <c r="G53" s="26" t="b">
        <v>1</v>
      </c>
      <c r="H53" s="24" t="s">
        <v>175</v>
      </c>
      <c r="I53" s="26" t="b">
        <v>1</v>
      </c>
      <c r="J53" s="24" t="s">
        <v>55</v>
      </c>
      <c r="K53" s="24"/>
    </row>
    <row r="54">
      <c r="A54" s="24" t="s">
        <v>16</v>
      </c>
      <c r="B54" s="24" t="s">
        <v>176</v>
      </c>
      <c r="C54" s="24" t="s">
        <v>177</v>
      </c>
      <c r="D54" s="25">
        <v>15.0</v>
      </c>
      <c r="E54" s="25">
        <v>293.0</v>
      </c>
      <c r="F54" s="26" t="b">
        <v>0</v>
      </c>
      <c r="G54" s="26" t="b">
        <v>1</v>
      </c>
      <c r="H54" s="24" t="s">
        <v>178</v>
      </c>
      <c r="I54" s="26" t="b">
        <v>0</v>
      </c>
      <c r="J54" s="24" t="s">
        <v>55</v>
      </c>
      <c r="K54" s="24"/>
    </row>
    <row r="55">
      <c r="A55" s="24" t="s">
        <v>16</v>
      </c>
      <c r="B55" s="24" t="s">
        <v>179</v>
      </c>
      <c r="C55" s="24" t="s">
        <v>180</v>
      </c>
      <c r="D55" s="25">
        <v>32.0</v>
      </c>
      <c r="E55" s="25">
        <v>204.0</v>
      </c>
      <c r="F55" s="26" t="b">
        <v>0</v>
      </c>
      <c r="G55" s="26" t="b">
        <v>1</v>
      </c>
      <c r="H55" s="24" t="s">
        <v>181</v>
      </c>
      <c r="I55" s="26" t="b">
        <v>0</v>
      </c>
      <c r="J55" s="24" t="s">
        <v>55</v>
      </c>
      <c r="K55" s="24"/>
    </row>
    <row r="56">
      <c r="A56" s="24" t="s">
        <v>16</v>
      </c>
      <c r="B56" s="24" t="s">
        <v>182</v>
      </c>
      <c r="C56" s="24" t="s">
        <v>183</v>
      </c>
      <c r="D56" s="25">
        <v>37.0</v>
      </c>
      <c r="E56" s="25">
        <v>138.0</v>
      </c>
      <c r="F56" s="26" t="b">
        <v>0</v>
      </c>
      <c r="G56" s="26" t="b">
        <v>1</v>
      </c>
      <c r="H56" s="24" t="s">
        <v>184</v>
      </c>
      <c r="I56" s="24"/>
      <c r="J56" s="24" t="s">
        <v>55</v>
      </c>
      <c r="K56" s="24"/>
    </row>
    <row r="57">
      <c r="A57" s="24" t="s">
        <v>16</v>
      </c>
      <c r="B57" s="24" t="s">
        <v>185</v>
      </c>
      <c r="C57" s="24" t="s">
        <v>186</v>
      </c>
      <c r="D57" s="25">
        <v>63.0</v>
      </c>
      <c r="E57" s="25">
        <v>125.0</v>
      </c>
      <c r="F57" s="26" t="b">
        <v>0</v>
      </c>
      <c r="G57" s="26" t="b">
        <v>1</v>
      </c>
      <c r="H57" s="24"/>
      <c r="I57" s="24"/>
      <c r="J57" s="24" t="s">
        <v>36</v>
      </c>
      <c r="K57" s="24"/>
    </row>
    <row r="58">
      <c r="A58" s="24" t="s">
        <v>16</v>
      </c>
      <c r="B58" s="24" t="s">
        <v>187</v>
      </c>
      <c r="C58" s="24" t="s">
        <v>188</v>
      </c>
      <c r="D58" s="25">
        <v>34.0</v>
      </c>
      <c r="E58" s="25">
        <v>157.0</v>
      </c>
      <c r="F58" s="26" t="b">
        <v>0</v>
      </c>
      <c r="G58" s="26" t="b">
        <v>1</v>
      </c>
      <c r="H58" s="24" t="s">
        <v>189</v>
      </c>
      <c r="I58" s="26" t="b">
        <v>1</v>
      </c>
      <c r="J58" s="24" t="s">
        <v>55</v>
      </c>
      <c r="K58" s="24"/>
    </row>
    <row r="59">
      <c r="A59" s="24" t="s">
        <v>16</v>
      </c>
      <c r="B59" s="24" t="s">
        <v>190</v>
      </c>
      <c r="C59" s="24" t="s">
        <v>191</v>
      </c>
      <c r="D59" s="25">
        <v>23.0</v>
      </c>
      <c r="E59" s="25">
        <v>107.0</v>
      </c>
      <c r="F59" s="26" t="b">
        <v>0</v>
      </c>
      <c r="G59" s="26" t="b">
        <v>1</v>
      </c>
      <c r="H59" s="24" t="s">
        <v>192</v>
      </c>
      <c r="I59" s="26" t="b">
        <v>1</v>
      </c>
      <c r="J59" s="24" t="s">
        <v>55</v>
      </c>
      <c r="K59" s="24"/>
    </row>
    <row r="60">
      <c r="A60" s="24" t="s">
        <v>16</v>
      </c>
      <c r="B60" s="24" t="s">
        <v>193</v>
      </c>
      <c r="C60" s="24" t="s">
        <v>194</v>
      </c>
      <c r="D60" s="25">
        <v>49.0</v>
      </c>
      <c r="E60" s="25">
        <v>405.0</v>
      </c>
      <c r="F60" s="26" t="b">
        <v>0</v>
      </c>
      <c r="G60" s="26" t="b">
        <v>1</v>
      </c>
      <c r="H60" s="24" t="s">
        <v>195</v>
      </c>
      <c r="I60" s="26" t="b">
        <v>1</v>
      </c>
      <c r="J60" s="24" t="s">
        <v>55</v>
      </c>
      <c r="K60" s="24"/>
    </row>
    <row r="61">
      <c r="A61" s="24" t="s">
        <v>17</v>
      </c>
      <c r="B61" s="24" t="s">
        <v>196</v>
      </c>
      <c r="C61" s="24" t="s">
        <v>197</v>
      </c>
      <c r="D61" s="25">
        <v>23.0</v>
      </c>
      <c r="E61" s="25">
        <v>842.0</v>
      </c>
      <c r="F61" s="26" t="b">
        <v>0</v>
      </c>
      <c r="G61" s="26" t="b">
        <v>1</v>
      </c>
      <c r="H61" s="24" t="s">
        <v>198</v>
      </c>
      <c r="I61" s="26" t="b">
        <v>0</v>
      </c>
      <c r="J61" s="24" t="s">
        <v>55</v>
      </c>
      <c r="K61" s="24"/>
    </row>
    <row r="62">
      <c r="A62" s="24" t="s">
        <v>17</v>
      </c>
      <c r="B62" s="24" t="s">
        <v>199</v>
      </c>
      <c r="C62" s="24" t="s">
        <v>200</v>
      </c>
      <c r="D62" s="25">
        <v>35.0</v>
      </c>
      <c r="E62" s="25">
        <v>515.0</v>
      </c>
      <c r="F62" s="26" t="b">
        <v>0</v>
      </c>
      <c r="G62" s="26" t="b">
        <v>1</v>
      </c>
      <c r="H62" s="24" t="s">
        <v>201</v>
      </c>
      <c r="I62" s="24"/>
      <c r="J62" s="24" t="s">
        <v>55</v>
      </c>
      <c r="K62" s="24"/>
    </row>
    <row r="63">
      <c r="A63" s="24" t="s">
        <v>17</v>
      </c>
      <c r="B63" s="24" t="s">
        <v>202</v>
      </c>
      <c r="C63" s="24" t="s">
        <v>203</v>
      </c>
      <c r="D63" s="25">
        <v>49.0</v>
      </c>
      <c r="E63" s="25">
        <v>398.0</v>
      </c>
      <c r="F63" s="26" t="b">
        <v>0</v>
      </c>
      <c r="G63" s="26" t="b">
        <v>1</v>
      </c>
      <c r="H63" s="24" t="s">
        <v>204</v>
      </c>
      <c r="I63" s="26" t="b">
        <v>0</v>
      </c>
      <c r="J63" s="24" t="s">
        <v>55</v>
      </c>
      <c r="K63" s="24"/>
    </row>
    <row r="64">
      <c r="A64" s="24" t="s">
        <v>17</v>
      </c>
      <c r="B64" s="24" t="s">
        <v>205</v>
      </c>
      <c r="C64" s="24" t="s">
        <v>206</v>
      </c>
      <c r="D64" s="25">
        <v>17.0</v>
      </c>
      <c r="E64" s="25">
        <v>379.0</v>
      </c>
      <c r="F64" s="26" t="b">
        <v>0</v>
      </c>
      <c r="G64" s="26" t="b">
        <v>1</v>
      </c>
      <c r="H64" s="24" t="s">
        <v>207</v>
      </c>
      <c r="I64" s="26" t="b">
        <v>0</v>
      </c>
      <c r="J64" s="24" t="s">
        <v>55</v>
      </c>
      <c r="K64" s="24"/>
    </row>
    <row r="65">
      <c r="A65" s="24" t="s">
        <v>17</v>
      </c>
      <c r="B65" s="24" t="s">
        <v>208</v>
      </c>
      <c r="C65" s="24" t="s">
        <v>209</v>
      </c>
      <c r="D65" s="25">
        <v>24.0</v>
      </c>
      <c r="E65" s="25">
        <v>530.0</v>
      </c>
      <c r="F65" s="26" t="b">
        <v>0</v>
      </c>
      <c r="G65" s="26" t="b">
        <v>1</v>
      </c>
      <c r="H65" s="24"/>
      <c r="I65" s="24"/>
      <c r="J65" s="24" t="s">
        <v>36</v>
      </c>
      <c r="K65" s="24"/>
    </row>
    <row r="66">
      <c r="A66" s="24" t="s">
        <v>17</v>
      </c>
      <c r="B66" s="24" t="s">
        <v>210</v>
      </c>
      <c r="C66" s="24" t="s">
        <v>211</v>
      </c>
      <c r="D66" s="25">
        <v>39.0</v>
      </c>
      <c r="E66" s="25">
        <v>940.0</v>
      </c>
      <c r="F66" s="26" t="b">
        <v>0</v>
      </c>
      <c r="G66" s="26" t="b">
        <v>1</v>
      </c>
      <c r="H66" s="24" t="s">
        <v>212</v>
      </c>
      <c r="I66" s="26" t="b">
        <v>0</v>
      </c>
      <c r="J66" s="24" t="s">
        <v>55</v>
      </c>
      <c r="K66" s="24"/>
    </row>
    <row r="67">
      <c r="A67" s="24" t="s">
        <v>17</v>
      </c>
      <c r="B67" s="24" t="s">
        <v>213</v>
      </c>
      <c r="C67" s="24" t="s">
        <v>214</v>
      </c>
      <c r="D67" s="25">
        <v>90.0</v>
      </c>
      <c r="E67" s="25">
        <v>358.0</v>
      </c>
      <c r="F67" s="26" t="b">
        <v>0</v>
      </c>
      <c r="G67" s="26" t="b">
        <v>1</v>
      </c>
      <c r="H67" s="24" t="s">
        <v>215</v>
      </c>
      <c r="I67" s="26" t="b">
        <v>0</v>
      </c>
      <c r="J67" s="24" t="s">
        <v>55</v>
      </c>
      <c r="K67" s="24"/>
    </row>
    <row r="68">
      <c r="A68" s="24" t="s">
        <v>17</v>
      </c>
      <c r="B68" s="24" t="s">
        <v>216</v>
      </c>
      <c r="C68" s="24" t="s">
        <v>217</v>
      </c>
      <c r="D68" s="25">
        <v>58.0</v>
      </c>
      <c r="E68" s="25">
        <v>214.0</v>
      </c>
      <c r="F68" s="26" t="b">
        <v>0</v>
      </c>
      <c r="G68" s="26" t="b">
        <v>1</v>
      </c>
      <c r="H68" s="24" t="s">
        <v>218</v>
      </c>
      <c r="I68" s="26" t="b">
        <v>0</v>
      </c>
      <c r="J68" s="24" t="s">
        <v>55</v>
      </c>
      <c r="K68" s="24"/>
    </row>
    <row r="69">
      <c r="A69" s="24" t="s">
        <v>18</v>
      </c>
      <c r="B69" s="24" t="s">
        <v>219</v>
      </c>
      <c r="C69" s="24" t="s">
        <v>220</v>
      </c>
      <c r="D69" s="25">
        <v>10616.0</v>
      </c>
      <c r="E69" s="25">
        <v>2600.0</v>
      </c>
      <c r="F69" s="26" t="b">
        <v>0</v>
      </c>
      <c r="G69" s="26" t="b">
        <v>1</v>
      </c>
      <c r="H69" s="24"/>
      <c r="I69" s="26" t="b">
        <v>0</v>
      </c>
      <c r="J69" s="24" t="s">
        <v>36</v>
      </c>
      <c r="K69" s="24" t="s">
        <v>221</v>
      </c>
    </row>
    <row r="70">
      <c r="A70" s="24" t="s">
        <v>18</v>
      </c>
      <c r="B70" s="24" t="s">
        <v>222</v>
      </c>
      <c r="C70" s="24" t="s">
        <v>220</v>
      </c>
      <c r="D70" s="25">
        <v>10035.0</v>
      </c>
      <c r="E70" s="25">
        <v>1400.0</v>
      </c>
      <c r="F70" s="26" t="b">
        <v>0</v>
      </c>
      <c r="G70" s="26" t="b">
        <v>1</v>
      </c>
      <c r="H70" s="24"/>
      <c r="I70" s="26" t="b">
        <v>0</v>
      </c>
      <c r="J70" s="24" t="s">
        <v>36</v>
      </c>
      <c r="K70" s="24" t="s">
        <v>221</v>
      </c>
    </row>
    <row r="71">
      <c r="A71" s="24" t="s">
        <v>19</v>
      </c>
      <c r="B71" s="24" t="s">
        <v>223</v>
      </c>
      <c r="C71" s="24" t="s">
        <v>224</v>
      </c>
      <c r="D71" s="25">
        <v>195.0</v>
      </c>
      <c r="E71" s="25">
        <v>233.0</v>
      </c>
      <c r="F71" s="26" t="b">
        <v>0</v>
      </c>
      <c r="G71" s="26" t="b">
        <v>0</v>
      </c>
      <c r="H71" s="24" t="s">
        <v>224</v>
      </c>
      <c r="I71" s="26" t="b">
        <v>0</v>
      </c>
      <c r="J71" s="24" t="s">
        <v>55</v>
      </c>
      <c r="K71" s="24"/>
    </row>
    <row r="72">
      <c r="A72" s="24" t="s">
        <v>19</v>
      </c>
      <c r="B72" s="24" t="s">
        <v>225</v>
      </c>
      <c r="C72" s="24" t="s">
        <v>226</v>
      </c>
      <c r="D72" s="25">
        <v>181.0</v>
      </c>
      <c r="E72" s="25">
        <v>72.0</v>
      </c>
      <c r="F72" s="26" t="b">
        <v>0</v>
      </c>
      <c r="G72" s="26" t="b">
        <v>0</v>
      </c>
      <c r="H72" s="24" t="s">
        <v>226</v>
      </c>
      <c r="I72" s="26" t="b">
        <v>0</v>
      </c>
      <c r="J72" s="24" t="s">
        <v>55</v>
      </c>
      <c r="K72" s="24"/>
    </row>
    <row r="73">
      <c r="A73" s="24" t="s">
        <v>19</v>
      </c>
      <c r="B73" s="24" t="s">
        <v>227</v>
      </c>
      <c r="C73" s="24" t="s">
        <v>228</v>
      </c>
      <c r="D73" s="25">
        <v>352.0</v>
      </c>
      <c r="E73" s="25">
        <v>32.0</v>
      </c>
      <c r="F73" s="26" t="b">
        <v>0</v>
      </c>
      <c r="G73" s="26" t="b">
        <v>0</v>
      </c>
      <c r="H73" s="24" t="s">
        <v>228</v>
      </c>
      <c r="I73" s="26" t="b">
        <v>0</v>
      </c>
      <c r="J73" s="24" t="s">
        <v>55</v>
      </c>
      <c r="K73" s="24"/>
    </row>
    <row r="74">
      <c r="A74" s="24" t="s">
        <v>19</v>
      </c>
      <c r="B74" s="24" t="s">
        <v>229</v>
      </c>
      <c r="C74" s="24" t="s">
        <v>230</v>
      </c>
      <c r="D74" s="25">
        <v>444.0</v>
      </c>
      <c r="E74" s="25">
        <v>16.0</v>
      </c>
      <c r="F74" s="26" t="b">
        <v>0</v>
      </c>
      <c r="G74" s="26" t="b">
        <v>0</v>
      </c>
      <c r="H74" s="24" t="s">
        <v>230</v>
      </c>
      <c r="I74" s="26" t="b">
        <v>0</v>
      </c>
      <c r="J74" s="24" t="s">
        <v>55</v>
      </c>
      <c r="K74" s="24"/>
    </row>
    <row r="75">
      <c r="A75" s="24" t="s">
        <v>19</v>
      </c>
      <c r="B75" s="24" t="s">
        <v>231</v>
      </c>
      <c r="C75" s="24" t="s">
        <v>232</v>
      </c>
      <c r="D75" s="25">
        <v>453.0</v>
      </c>
      <c r="E75" s="25">
        <v>26.0</v>
      </c>
      <c r="F75" s="26" t="b">
        <v>0</v>
      </c>
      <c r="G75" s="26" t="b">
        <v>0</v>
      </c>
      <c r="H75" s="24" t="s">
        <v>232</v>
      </c>
      <c r="I75" s="26" t="b">
        <v>0</v>
      </c>
      <c r="J75" s="24" t="s">
        <v>55</v>
      </c>
      <c r="K75" s="24"/>
    </row>
    <row r="76">
      <c r="A76" s="24" t="s">
        <v>19</v>
      </c>
      <c r="B76" s="24" t="s">
        <v>233</v>
      </c>
      <c r="C76" s="24" t="s">
        <v>234</v>
      </c>
      <c r="D76" s="25">
        <v>186.0</v>
      </c>
      <c r="E76" s="25">
        <v>19.0</v>
      </c>
      <c r="F76" s="26" t="b">
        <v>0</v>
      </c>
      <c r="G76" s="26" t="b">
        <v>0</v>
      </c>
      <c r="H76" s="24" t="s">
        <v>234</v>
      </c>
      <c r="I76" s="26" t="b">
        <v>0</v>
      </c>
      <c r="J76" s="24" t="s">
        <v>55</v>
      </c>
      <c r="K76" s="24"/>
    </row>
    <row r="77">
      <c r="A77" s="24" t="s">
        <v>19</v>
      </c>
      <c r="B77" s="24" t="s">
        <v>235</v>
      </c>
      <c r="C77" s="24" t="s">
        <v>236</v>
      </c>
      <c r="D77" s="25">
        <v>646.0</v>
      </c>
      <c r="E77" s="25">
        <v>11.0</v>
      </c>
      <c r="F77" s="26" t="b">
        <v>0</v>
      </c>
      <c r="G77" s="26" t="b">
        <v>0</v>
      </c>
      <c r="H77" s="24" t="s">
        <v>236</v>
      </c>
      <c r="I77" s="26" t="b">
        <v>0</v>
      </c>
      <c r="J77" s="24" t="s">
        <v>55</v>
      </c>
      <c r="K77" s="24"/>
    </row>
    <row r="78">
      <c r="A78" s="24" t="s">
        <v>19</v>
      </c>
      <c r="B78" s="24" t="s">
        <v>237</v>
      </c>
      <c r="C78" s="24" t="s">
        <v>238</v>
      </c>
      <c r="D78" s="25">
        <v>232.0</v>
      </c>
      <c r="E78" s="25">
        <v>8.0</v>
      </c>
      <c r="F78" s="26" t="b">
        <v>0</v>
      </c>
      <c r="G78" s="26" t="b">
        <v>0</v>
      </c>
      <c r="H78" s="24" t="s">
        <v>238</v>
      </c>
      <c r="I78" s="26" t="b">
        <v>0</v>
      </c>
      <c r="J78" s="24" t="s">
        <v>55</v>
      </c>
      <c r="K78" s="24"/>
    </row>
    <row r="79">
      <c r="A79" s="24" t="s">
        <v>19</v>
      </c>
      <c r="B79" s="24" t="s">
        <v>239</v>
      </c>
      <c r="C79" s="24" t="s">
        <v>240</v>
      </c>
      <c r="D79" s="25">
        <v>1628.0</v>
      </c>
      <c r="E79" s="25">
        <v>23.0</v>
      </c>
      <c r="F79" s="26" t="b">
        <v>0</v>
      </c>
      <c r="G79" s="26" t="b">
        <v>0</v>
      </c>
      <c r="H79" s="24" t="s">
        <v>240</v>
      </c>
      <c r="I79" s="26" t="b">
        <v>0</v>
      </c>
      <c r="J79" s="24" t="s">
        <v>55</v>
      </c>
      <c r="K79" s="24"/>
    </row>
    <row r="80">
      <c r="A80" s="24" t="s">
        <v>19</v>
      </c>
      <c r="B80" s="24" t="s">
        <v>241</v>
      </c>
      <c r="C80" s="24" t="s">
        <v>242</v>
      </c>
      <c r="D80" s="25">
        <v>105.0</v>
      </c>
      <c r="E80" s="25">
        <v>18.0</v>
      </c>
      <c r="F80" s="26" t="b">
        <v>0</v>
      </c>
      <c r="G80" s="26" t="b">
        <v>0</v>
      </c>
      <c r="H80" s="24" t="s">
        <v>242</v>
      </c>
      <c r="I80" s="26" t="b">
        <v>0</v>
      </c>
      <c r="J80" s="24" t="s">
        <v>55</v>
      </c>
      <c r="K80" s="24"/>
    </row>
    <row r="81">
      <c r="A81" s="24" t="s">
        <v>19</v>
      </c>
      <c r="B81" s="24" t="s">
        <v>243</v>
      </c>
      <c r="C81" s="24" t="s">
        <v>244</v>
      </c>
      <c r="D81" s="25">
        <v>410.0</v>
      </c>
      <c r="E81" s="25">
        <v>7.0</v>
      </c>
      <c r="F81" s="26" t="b">
        <v>0</v>
      </c>
      <c r="G81" s="26" t="b">
        <v>0</v>
      </c>
      <c r="H81" s="24" t="s">
        <v>244</v>
      </c>
      <c r="I81" s="26" t="b">
        <v>0</v>
      </c>
      <c r="J81" s="24" t="s">
        <v>55</v>
      </c>
      <c r="K81" s="24"/>
    </row>
    <row r="82">
      <c r="A82" s="24" t="s">
        <v>19</v>
      </c>
      <c r="B82" s="24" t="s">
        <v>245</v>
      </c>
      <c r="C82" s="24" t="s">
        <v>246</v>
      </c>
      <c r="D82" s="25">
        <v>59.0</v>
      </c>
      <c r="E82" s="25">
        <v>11.0</v>
      </c>
      <c r="F82" s="26" t="b">
        <v>0</v>
      </c>
      <c r="G82" s="26" t="b">
        <v>0</v>
      </c>
      <c r="H82" s="24" t="s">
        <v>246</v>
      </c>
      <c r="I82" s="26" t="b">
        <v>0</v>
      </c>
      <c r="J82" s="24" t="s">
        <v>55</v>
      </c>
      <c r="K82" s="24"/>
    </row>
    <row r="83">
      <c r="A83" s="24" t="s">
        <v>19</v>
      </c>
      <c r="B83" s="24" t="s">
        <v>247</v>
      </c>
      <c r="C83" s="24" t="s">
        <v>248</v>
      </c>
      <c r="D83" s="25">
        <v>335.0</v>
      </c>
      <c r="E83" s="25">
        <v>40.0</v>
      </c>
      <c r="F83" s="26" t="b">
        <v>0</v>
      </c>
      <c r="G83" s="26" t="b">
        <v>0</v>
      </c>
      <c r="H83" s="24" t="s">
        <v>248</v>
      </c>
      <c r="I83" s="26" t="b">
        <v>0</v>
      </c>
      <c r="J83" s="24" t="s">
        <v>55</v>
      </c>
      <c r="K83" s="24"/>
    </row>
    <row r="84">
      <c r="A84" s="24" t="s">
        <v>19</v>
      </c>
      <c r="B84" s="24" t="s">
        <v>249</v>
      </c>
      <c r="C84" s="24" t="s">
        <v>250</v>
      </c>
      <c r="D84" s="25">
        <v>243.0</v>
      </c>
      <c r="E84" s="25">
        <v>18.0</v>
      </c>
      <c r="F84" s="26" t="b">
        <v>0</v>
      </c>
      <c r="G84" s="26" t="b">
        <v>0</v>
      </c>
      <c r="H84" s="24" t="s">
        <v>250</v>
      </c>
      <c r="I84" s="26" t="b">
        <v>0</v>
      </c>
      <c r="J84" s="24" t="s">
        <v>55</v>
      </c>
      <c r="K84" s="24"/>
    </row>
    <row r="85">
      <c r="A85" s="24" t="s">
        <v>19</v>
      </c>
      <c r="B85" s="24" t="s">
        <v>251</v>
      </c>
      <c r="C85" s="24" t="s">
        <v>252</v>
      </c>
      <c r="D85" s="25">
        <v>500.0</v>
      </c>
      <c r="E85" s="25">
        <v>16.0</v>
      </c>
      <c r="F85" s="26" t="b">
        <v>0</v>
      </c>
      <c r="G85" s="26" t="b">
        <v>0</v>
      </c>
      <c r="H85" s="24" t="s">
        <v>252</v>
      </c>
      <c r="I85" s="26" t="b">
        <v>0</v>
      </c>
      <c r="J85" s="24" t="s">
        <v>55</v>
      </c>
      <c r="K85" s="24"/>
    </row>
    <row r="86">
      <c r="A86" s="24" t="s">
        <v>19</v>
      </c>
      <c r="B86" s="24" t="s">
        <v>253</v>
      </c>
      <c r="C86" s="24" t="s">
        <v>254</v>
      </c>
      <c r="D86" s="25">
        <v>225.0</v>
      </c>
      <c r="E86" s="25">
        <v>14.0</v>
      </c>
      <c r="F86" s="26" t="b">
        <v>0</v>
      </c>
      <c r="G86" s="26" t="b">
        <v>0</v>
      </c>
      <c r="H86" s="24" t="s">
        <v>254</v>
      </c>
      <c r="I86" s="26" t="b">
        <v>0</v>
      </c>
      <c r="J86" s="24" t="s">
        <v>55</v>
      </c>
      <c r="K86" s="24"/>
    </row>
    <row r="87">
      <c r="A87" s="24" t="s">
        <v>19</v>
      </c>
      <c r="B87" s="24" t="s">
        <v>255</v>
      </c>
      <c r="C87" s="24" t="s">
        <v>256</v>
      </c>
      <c r="D87" s="25">
        <v>295.0</v>
      </c>
      <c r="E87" s="25">
        <v>56.0</v>
      </c>
      <c r="F87" s="26" t="b">
        <v>0</v>
      </c>
      <c r="G87" s="26" t="b">
        <v>0</v>
      </c>
      <c r="H87" s="24" t="s">
        <v>256</v>
      </c>
      <c r="I87" s="26" t="b">
        <v>0</v>
      </c>
      <c r="J87" s="24" t="s">
        <v>55</v>
      </c>
      <c r="K87" s="24"/>
    </row>
    <row r="88">
      <c r="A88" s="24" t="s">
        <v>19</v>
      </c>
      <c r="B88" s="24" t="s">
        <v>257</v>
      </c>
      <c r="C88" s="24" t="s">
        <v>258</v>
      </c>
      <c r="D88" s="25">
        <v>84.0</v>
      </c>
      <c r="E88" s="25">
        <v>15.0</v>
      </c>
      <c r="F88" s="26" t="b">
        <v>0</v>
      </c>
      <c r="G88" s="26" t="b">
        <v>0</v>
      </c>
      <c r="H88" s="24" t="s">
        <v>258</v>
      </c>
      <c r="I88" s="26" t="b">
        <v>0</v>
      </c>
      <c r="J88" s="24" t="s">
        <v>55</v>
      </c>
      <c r="K88" s="24"/>
    </row>
    <row r="89">
      <c r="A89" s="24" t="s">
        <v>19</v>
      </c>
      <c r="B89" s="24" t="s">
        <v>259</v>
      </c>
      <c r="C89" s="24" t="s">
        <v>260</v>
      </c>
      <c r="D89" s="25">
        <v>183.0</v>
      </c>
      <c r="E89" s="25">
        <v>439.0</v>
      </c>
      <c r="F89" s="26" t="b">
        <v>0</v>
      </c>
      <c r="G89" s="26" t="b">
        <v>0</v>
      </c>
      <c r="H89" s="24" t="s">
        <v>260</v>
      </c>
      <c r="I89" s="26" t="b">
        <v>0</v>
      </c>
      <c r="J89" s="24" t="s">
        <v>55</v>
      </c>
      <c r="K89" s="24"/>
    </row>
    <row r="90">
      <c r="A90" s="24" t="s">
        <v>19</v>
      </c>
      <c r="B90" s="24" t="s">
        <v>261</v>
      </c>
      <c r="C90" s="24" t="s">
        <v>262</v>
      </c>
      <c r="D90" s="25">
        <v>60.0</v>
      </c>
      <c r="E90" s="25">
        <v>35.0</v>
      </c>
      <c r="F90" s="26" t="b">
        <v>0</v>
      </c>
      <c r="G90" s="26" t="b">
        <v>0</v>
      </c>
      <c r="H90" s="24" t="s">
        <v>262</v>
      </c>
      <c r="I90" s="26" t="b">
        <v>0</v>
      </c>
      <c r="J90" s="24" t="s">
        <v>55</v>
      </c>
      <c r="K90" s="24"/>
    </row>
    <row r="91">
      <c r="A91" s="24" t="s">
        <v>19</v>
      </c>
      <c r="B91" s="24" t="s">
        <v>263</v>
      </c>
      <c r="C91" s="24" t="s">
        <v>264</v>
      </c>
      <c r="D91" s="25">
        <v>107.0</v>
      </c>
      <c r="E91" s="25">
        <v>20.0</v>
      </c>
      <c r="F91" s="26" t="b">
        <v>0</v>
      </c>
      <c r="G91" s="26" t="b">
        <v>0</v>
      </c>
      <c r="H91" s="24" t="s">
        <v>264</v>
      </c>
      <c r="I91" s="26" t="b">
        <v>0</v>
      </c>
      <c r="J91" s="24" t="s">
        <v>55</v>
      </c>
      <c r="K91" s="24"/>
    </row>
    <row r="92">
      <c r="A92" s="24" t="s">
        <v>19</v>
      </c>
      <c r="B92" s="24" t="s">
        <v>265</v>
      </c>
      <c r="C92" s="24" t="s">
        <v>266</v>
      </c>
      <c r="D92" s="25">
        <v>209.0</v>
      </c>
      <c r="E92" s="25">
        <v>12.0</v>
      </c>
      <c r="F92" s="26" t="b">
        <v>0</v>
      </c>
      <c r="G92" s="26" t="b">
        <v>0</v>
      </c>
      <c r="H92" s="24" t="s">
        <v>266</v>
      </c>
      <c r="I92" s="26" t="b">
        <v>0</v>
      </c>
      <c r="J92" s="24" t="s">
        <v>55</v>
      </c>
      <c r="K92" s="24"/>
    </row>
    <row r="93">
      <c r="A93" s="24" t="s">
        <v>19</v>
      </c>
      <c r="B93" s="24" t="s">
        <v>267</v>
      </c>
      <c r="C93" s="24" t="s">
        <v>268</v>
      </c>
      <c r="D93" s="25">
        <v>96.0</v>
      </c>
      <c r="E93" s="25">
        <v>17.0</v>
      </c>
      <c r="F93" s="26" t="b">
        <v>0</v>
      </c>
      <c r="G93" s="26" t="b">
        <v>0</v>
      </c>
      <c r="H93" s="24" t="s">
        <v>268</v>
      </c>
      <c r="I93" s="26" t="b">
        <v>0</v>
      </c>
      <c r="J93" s="24" t="s">
        <v>55</v>
      </c>
      <c r="K93" s="24"/>
    </row>
    <row r="94">
      <c r="A94" s="24" t="s">
        <v>19</v>
      </c>
      <c r="B94" s="24" t="s">
        <v>269</v>
      </c>
      <c r="C94" s="24" t="s">
        <v>270</v>
      </c>
      <c r="D94" s="25">
        <v>65.0</v>
      </c>
      <c r="E94" s="25">
        <v>26.0</v>
      </c>
      <c r="F94" s="26" t="b">
        <v>0</v>
      </c>
      <c r="G94" s="26" t="b">
        <v>0</v>
      </c>
      <c r="H94" s="24" t="s">
        <v>270</v>
      </c>
      <c r="I94" s="26" t="b">
        <v>0</v>
      </c>
      <c r="J94" s="24" t="s">
        <v>55</v>
      </c>
      <c r="K94" s="24"/>
    </row>
    <row r="95">
      <c r="A95" s="24" t="s">
        <v>19</v>
      </c>
      <c r="B95" s="24" t="s">
        <v>271</v>
      </c>
      <c r="C95" s="24" t="s">
        <v>272</v>
      </c>
      <c r="D95" s="25">
        <v>130.0</v>
      </c>
      <c r="E95" s="25">
        <v>18.0</v>
      </c>
      <c r="F95" s="26" t="b">
        <v>0</v>
      </c>
      <c r="G95" s="26" t="b">
        <v>0</v>
      </c>
      <c r="H95" s="24" t="s">
        <v>272</v>
      </c>
      <c r="I95" s="26" t="b">
        <v>0</v>
      </c>
      <c r="J95" s="24" t="s">
        <v>55</v>
      </c>
      <c r="K95" s="24"/>
    </row>
    <row r="96">
      <c r="A96" s="24" t="s">
        <v>19</v>
      </c>
      <c r="B96" s="24" t="s">
        <v>273</v>
      </c>
      <c r="C96" s="24" t="s">
        <v>274</v>
      </c>
      <c r="D96" s="25">
        <v>185.0</v>
      </c>
      <c r="E96" s="25">
        <v>21.0</v>
      </c>
      <c r="F96" s="26" t="b">
        <v>0</v>
      </c>
      <c r="G96" s="26" t="b">
        <v>0</v>
      </c>
      <c r="H96" s="24" t="s">
        <v>274</v>
      </c>
      <c r="I96" s="26" t="b">
        <v>0</v>
      </c>
      <c r="J96" s="24" t="s">
        <v>55</v>
      </c>
      <c r="K96" s="24"/>
    </row>
    <row r="97">
      <c r="A97" s="24" t="s">
        <v>19</v>
      </c>
      <c r="B97" s="24" t="s">
        <v>275</v>
      </c>
      <c r="C97" s="24" t="s">
        <v>276</v>
      </c>
      <c r="D97" s="25">
        <v>63.0</v>
      </c>
      <c r="E97" s="25">
        <v>14.0</v>
      </c>
      <c r="F97" s="26" t="b">
        <v>0</v>
      </c>
      <c r="G97" s="26" t="b">
        <v>0</v>
      </c>
      <c r="H97" s="24" t="s">
        <v>276</v>
      </c>
      <c r="I97" s="26" t="b">
        <v>0</v>
      </c>
      <c r="J97" s="24" t="s">
        <v>55</v>
      </c>
      <c r="K97" s="24"/>
    </row>
    <row r="98">
      <c r="A98" s="24" t="s">
        <v>19</v>
      </c>
      <c r="B98" s="24" t="s">
        <v>277</v>
      </c>
      <c r="C98" s="24" t="s">
        <v>278</v>
      </c>
      <c r="D98" s="25">
        <v>116.0</v>
      </c>
      <c r="E98" s="25">
        <v>21.0</v>
      </c>
      <c r="F98" s="26" t="b">
        <v>0</v>
      </c>
      <c r="G98" s="26" t="b">
        <v>0</v>
      </c>
      <c r="H98" s="24" t="s">
        <v>278</v>
      </c>
      <c r="I98" s="26" t="b">
        <v>0</v>
      </c>
      <c r="J98" s="24" t="s">
        <v>55</v>
      </c>
      <c r="K98" s="24"/>
    </row>
    <row r="99">
      <c r="A99" s="24" t="s">
        <v>19</v>
      </c>
      <c r="B99" s="24" t="s">
        <v>279</v>
      </c>
      <c r="C99" s="24" t="s">
        <v>280</v>
      </c>
      <c r="D99" s="25">
        <v>98.0</v>
      </c>
      <c r="E99" s="25">
        <v>14.0</v>
      </c>
      <c r="F99" s="26" t="b">
        <v>0</v>
      </c>
      <c r="G99" s="26" t="b">
        <v>0</v>
      </c>
      <c r="H99" s="24" t="s">
        <v>280</v>
      </c>
      <c r="I99" s="26" t="b">
        <v>0</v>
      </c>
      <c r="J99" s="24" t="s">
        <v>55</v>
      </c>
      <c r="K99" s="24"/>
    </row>
    <row r="100">
      <c r="A100" s="24" t="s">
        <v>19</v>
      </c>
      <c r="B100" s="24" t="s">
        <v>281</v>
      </c>
      <c r="C100" s="24" t="s">
        <v>282</v>
      </c>
      <c r="D100" s="25">
        <v>42.0</v>
      </c>
      <c r="E100" s="25">
        <v>9.0</v>
      </c>
      <c r="F100" s="26" t="b">
        <v>0</v>
      </c>
      <c r="G100" s="26" t="b">
        <v>0</v>
      </c>
      <c r="H100" s="24" t="s">
        <v>282</v>
      </c>
      <c r="I100" s="26" t="b">
        <v>0</v>
      </c>
      <c r="J100" s="24" t="s">
        <v>55</v>
      </c>
      <c r="K100" s="24"/>
    </row>
    <row r="101">
      <c r="A101" s="24" t="s">
        <v>19</v>
      </c>
      <c r="B101" s="24" t="s">
        <v>283</v>
      </c>
      <c r="C101" s="24" t="s">
        <v>284</v>
      </c>
      <c r="D101" s="25">
        <v>73.0</v>
      </c>
      <c r="E101" s="25">
        <v>9.0</v>
      </c>
      <c r="F101" s="26" t="b">
        <v>0</v>
      </c>
      <c r="G101" s="26" t="b">
        <v>0</v>
      </c>
      <c r="H101" s="24" t="s">
        <v>284</v>
      </c>
      <c r="I101" s="26" t="b">
        <v>0</v>
      </c>
      <c r="J101" s="24" t="s">
        <v>55</v>
      </c>
      <c r="K101" s="24"/>
    </row>
    <row r="102">
      <c r="A102" s="24" t="s">
        <v>19</v>
      </c>
      <c r="B102" s="24" t="s">
        <v>285</v>
      </c>
      <c r="C102" s="24" t="s">
        <v>286</v>
      </c>
      <c r="D102" s="25">
        <v>67.0</v>
      </c>
      <c r="E102" s="25">
        <v>15.0</v>
      </c>
      <c r="F102" s="26" t="b">
        <v>0</v>
      </c>
      <c r="G102" s="26" t="b">
        <v>0</v>
      </c>
      <c r="H102" s="24" t="s">
        <v>286</v>
      </c>
      <c r="I102" s="26" t="b">
        <v>0</v>
      </c>
      <c r="J102" s="24" t="s">
        <v>55</v>
      </c>
      <c r="K102" s="24"/>
    </row>
    <row r="103">
      <c r="A103" s="24" t="s">
        <v>19</v>
      </c>
      <c r="B103" s="24" t="s">
        <v>287</v>
      </c>
      <c r="C103" s="24" t="s">
        <v>288</v>
      </c>
      <c r="D103" s="25">
        <v>93.0</v>
      </c>
      <c r="E103" s="25">
        <v>47.0</v>
      </c>
      <c r="F103" s="26" t="b">
        <v>0</v>
      </c>
      <c r="G103" s="26" t="b">
        <v>0</v>
      </c>
      <c r="H103" s="24" t="s">
        <v>288</v>
      </c>
      <c r="I103" s="26" t="b">
        <v>0</v>
      </c>
      <c r="J103" s="24" t="s">
        <v>55</v>
      </c>
      <c r="K103" s="24"/>
    </row>
    <row r="104">
      <c r="A104" s="24" t="s">
        <v>19</v>
      </c>
      <c r="B104" s="24" t="s">
        <v>289</v>
      </c>
      <c r="C104" s="24" t="s">
        <v>290</v>
      </c>
      <c r="D104" s="25">
        <v>160.0</v>
      </c>
      <c r="E104" s="25">
        <v>16.0</v>
      </c>
      <c r="F104" s="26" t="b">
        <v>0</v>
      </c>
      <c r="G104" s="26" t="b">
        <v>0</v>
      </c>
      <c r="H104" s="24" t="s">
        <v>290</v>
      </c>
      <c r="I104" s="26" t="b">
        <v>0</v>
      </c>
      <c r="J104" s="24" t="s">
        <v>55</v>
      </c>
      <c r="K104" s="24"/>
    </row>
  </sheetData>
  <drawing r:id="rId1"/>
</worksheet>
</file>