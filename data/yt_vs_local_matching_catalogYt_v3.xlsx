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CHES" sheetId="1" state="visible" r:id="rId1"/>
    <sheet xmlns:r="http://schemas.openxmlformats.org/officeDocument/2006/relationships" name="CURADOS" sheetId="2" state="visible" r:id="rId2"/>
    <sheet xmlns:r="http://schemas.openxmlformats.org/officeDocument/2006/relationships" name="NO_CURADOS" sheetId="3" state="visible" r:id="rId3"/>
    <sheet xmlns:r="http://schemas.openxmlformats.org/officeDocument/2006/relationships" name="CRUDOS" sheetId="4" state="visible" r:id="rId4"/>
    <sheet xmlns:r="http://schemas.openxmlformats.org/officeDocument/2006/relationships" name="Hoja 4" sheetId="5" state="visible" r:id="rId5"/>
    <sheet xmlns:r="http://schemas.openxmlformats.org/officeDocument/2006/relationships" name="CATALOG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Calibri"/>
      <color theme="1"/>
      <sz val="11"/>
    </font>
    <font>
      <color rgb="FF0000FF"/>
      <u val="single"/>
    </font>
    <font>
      <b val="1"/>
      <color rgb="00FFFFFF"/>
    </font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001F497D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applyAlignment="1" pivotButton="0" quotePrefix="0" xfId="0">
      <alignment vertical="bottom"/>
    </xf>
    <xf numFmtId="0" fontId="2" fillId="2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center" vertical="bottom"/>
    </xf>
    <xf numFmtId="0" fontId="1" fillId="3" borderId="0" pivotButton="0" quotePrefix="0" xfId="0"/>
    <xf numFmtId="0" fontId="2" fillId="2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2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center" vertical="bottom"/>
    </xf>
    <xf numFmtId="0" fontId="1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0" fillId="0" borderId="0" pivotButton="0" quotePrefix="0" xfId="0"/>
    <xf numFmtId="0" fontId="5" fillId="4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https://www.youtube.com/watch?v=p34PDLyzY2U&amp;list=PLbwR2bewXC0udCzEIqSKiXOm1qUNZ0sVL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3"/>
  <sheetViews>
    <sheetView workbookViewId="0">
      <selection activeCell="A1" sqref="A1"/>
    </sheetView>
  </sheetViews>
  <sheetFormatPr baseColWidth="8" defaultColWidth="12.63" defaultRowHeight="15.75" customHeight="1"/>
  <cols>
    <col width="22.5" customWidth="1" style="17" min="1" max="1"/>
    <col width="36.5" customWidth="1" style="17" min="2" max="2"/>
    <col width="17.25" customWidth="1" style="17" min="3" max="3"/>
    <col width="48" customWidth="1" style="17" min="4" max="4"/>
    <col width="34.5" customWidth="1" style="17" min="6" max="6"/>
  </cols>
  <sheetData>
    <row r="1">
      <c r="A1" s="13" t="inlineStr">
        <is>
          <t>yt_id</t>
        </is>
      </c>
      <c r="B1" s="13" t="inlineStr">
        <is>
          <t>yt_title</t>
        </is>
      </c>
      <c r="C1" s="13" t="inlineStr">
        <is>
          <t>yt_dur_s</t>
        </is>
      </c>
      <c r="D1" s="13" t="inlineStr">
        <is>
          <t>playlist</t>
        </is>
      </c>
      <c r="E1" s="13" t="inlineStr">
        <is>
          <t>yt_topic</t>
        </is>
      </c>
      <c r="F1" s="13" t="inlineStr">
        <is>
          <t>local_file</t>
        </is>
      </c>
      <c r="G1" s="13" t="inlineStr">
        <is>
          <t>local_dur_s</t>
        </is>
      </c>
      <c r="H1" s="13" t="inlineStr">
        <is>
          <t>local_topic</t>
        </is>
      </c>
      <c r="I1" s="13" t="inlineStr">
        <is>
          <t>has_sub</t>
        </is>
      </c>
      <c r="J1" s="13" t="inlineStr">
        <is>
          <t>dur_score</t>
        </is>
      </c>
      <c r="K1" s="13" t="inlineStr">
        <is>
          <t>tfidf_score</t>
        </is>
      </c>
      <c r="L1" s="13" t="inlineStr">
        <is>
          <t>score</t>
        </is>
      </c>
      <c r="M1" s="13" t="inlineStr">
        <is>
          <t>match</t>
        </is>
      </c>
    </row>
    <row r="2">
      <c r="A2" s="2" t="inlineStr">
        <is>
          <t>hQPyeZn-CEo</t>
        </is>
      </c>
      <c r="B2" s="2" t="inlineStr">
        <is>
          <t>2. ¿Cómo presentar un reclamo?</t>
        </is>
      </c>
      <c r="C2" s="2" t="n">
        <v>33</v>
      </c>
      <c r="D2" s="2" t="inlineStr">
        <is>
          <t>Guía de Información 2018/2019 | Accesibilidad</t>
        </is>
      </c>
      <c r="E2" s="2" t="inlineStr">
        <is>
          <t>Accesibilidad</t>
        </is>
      </c>
      <c r="F2" s="2" t="inlineStr">
        <is>
          <t>DSC_0841 p.66.MOV</t>
        </is>
      </c>
      <c r="G2" s="2" t="n">
        <v>45.45</v>
      </c>
      <c r="H2" s="2" t="inlineStr">
        <is>
          <t>Accesibilidad</t>
        </is>
      </c>
      <c r="I2" s="2" t="b">
        <v>1</v>
      </c>
      <c r="J2" s="2" t="n">
        <v>0.726</v>
      </c>
      <c r="K2" s="2" t="n">
        <v>0.367</v>
      </c>
      <c r="L2" s="2" t="n">
        <v>0.556</v>
      </c>
      <c r="M2" s="2" t="inlineStr">
        <is>
          <t>OK</t>
        </is>
      </c>
    </row>
    <row r="3">
      <c r="A3" s="2" t="inlineStr">
        <is>
          <t>V-YJmvUkKog</t>
        </is>
      </c>
      <c r="B3" s="2" t="inlineStr">
        <is>
          <t>3. Ley No. 962 de accesibilidad edilicia</t>
        </is>
      </c>
      <c r="C3" s="2" t="n">
        <v>47</v>
      </c>
      <c r="D3" s="2" t="inlineStr">
        <is>
          <t>Guía de Información 2018/2019 | Accesibilidad</t>
        </is>
      </c>
      <c r="E3" s="2" t="inlineStr">
        <is>
          <t>Accesibilidad</t>
        </is>
      </c>
      <c r="F3" s="2" t="inlineStr">
        <is>
          <t>DSC_0845 p.68 edificio accesible.MOV</t>
        </is>
      </c>
      <c r="G3" s="2" t="n">
        <v>52.55</v>
      </c>
      <c r="H3" s="2" t="inlineStr">
        <is>
          <t>Accesibilidad</t>
        </is>
      </c>
      <c r="I3" s="2" t="b">
        <v>1</v>
      </c>
      <c r="J3" s="2" t="n">
        <v>0.894</v>
      </c>
      <c r="K3" s="2" t="n">
        <v>0.304</v>
      </c>
      <c r="L3" s="2" t="n">
        <v>0.58</v>
      </c>
      <c r="M3" s="2" t="inlineStr">
        <is>
          <t>OK</t>
        </is>
      </c>
    </row>
    <row r="4">
      <c r="A4" s="2" t="inlineStr">
        <is>
          <t>Aza2d0yi5bs</t>
        </is>
      </c>
      <c r="B4" s="2" t="inlineStr">
        <is>
          <t>5. Guía de Turismo Accesible</t>
        </is>
      </c>
      <c r="C4" s="2" t="n">
        <v>52</v>
      </c>
      <c r="D4" s="2" t="inlineStr">
        <is>
          <t>Guía de Información 2018/2019 | Accesibilidad</t>
        </is>
      </c>
      <c r="E4" s="2" t="inlineStr">
        <is>
          <t>Accesibilidad</t>
        </is>
      </c>
      <c r="F4" s="2" t="inlineStr">
        <is>
          <t>DSC_0847 p.69.MOV</t>
        </is>
      </c>
      <c r="G4" s="2" t="n">
        <v>54.15</v>
      </c>
      <c r="H4" s="2" t="inlineStr">
        <is>
          <t>Accesibilidad</t>
        </is>
      </c>
      <c r="I4" s="2" t="b">
        <v>1</v>
      </c>
      <c r="J4" s="2" t="n">
        <v>0.96</v>
      </c>
      <c r="K4" s="2" t="n">
        <v>0.286</v>
      </c>
      <c r="L4" s="2" t="n">
        <v>0.593</v>
      </c>
      <c r="M4" s="2" t="inlineStr">
        <is>
          <t>OK</t>
        </is>
      </c>
    </row>
    <row r="5">
      <c r="A5" s="2" t="inlineStr">
        <is>
          <t>Lq8JAf8gTI0</t>
        </is>
      </c>
      <c r="B5" s="2" t="inlineStr">
        <is>
          <t>2. Pase libre para viajar</t>
        </is>
      </c>
      <c r="C5" s="2" t="n">
        <v>44</v>
      </c>
      <c r="D5" s="2" t="inlineStr">
        <is>
          <t>Guía de Información 2018/2019 | Transporte</t>
        </is>
      </c>
      <c r="E5" s="2" t="inlineStr">
        <is>
          <t>Transporte</t>
        </is>
      </c>
      <c r="F5" s="2" t="inlineStr">
        <is>
          <t>DSC_0802 Pasaje gratis si.MOV</t>
        </is>
      </c>
      <c r="G5" s="2" t="n">
        <v>49.85</v>
      </c>
      <c r="H5" s="2" t="inlineStr">
        <is>
          <t>Transporte</t>
        </is>
      </c>
      <c r="I5" s="2" t="b">
        <v>1</v>
      </c>
      <c r="J5" s="2" t="n">
        <v>0.883</v>
      </c>
      <c r="K5" s="2" t="n">
        <v>0.269</v>
      </c>
      <c r="L5" s="2" t="n">
        <v>0.5570000000000001</v>
      </c>
      <c r="M5" s="2" t="inlineStr">
        <is>
          <t>OK</t>
        </is>
      </c>
    </row>
    <row r="6">
      <c r="A6" s="2" t="inlineStr">
        <is>
          <t>vdp9Fh7jj-8</t>
        </is>
      </c>
      <c r="B6" s="2" t="inlineStr">
        <is>
          <t>6. ¿Cómo pedir la reserva de estacionamiento? ↓</t>
        </is>
      </c>
      <c r="C6" s="2" t="n">
        <v>45</v>
      </c>
      <c r="D6" s="2" t="inlineStr">
        <is>
          <t>Guía de Información 2018/2019 | Transporte</t>
        </is>
      </c>
      <c r="E6" s="2" t="inlineStr">
        <is>
          <t>Transporte</t>
        </is>
      </c>
      <c r="F6" s="2" t="inlineStr">
        <is>
          <t>DSC_0824 Reserva estac CONFIRMAR SI.MOV</t>
        </is>
      </c>
      <c r="G6" s="2" t="n">
        <v>49.55</v>
      </c>
      <c r="H6" s="2" t="inlineStr">
        <is>
          <t>Accesibilidad</t>
        </is>
      </c>
      <c r="I6" s="2" t="b">
        <v>1</v>
      </c>
      <c r="J6" s="2" t="n">
        <v>0.908</v>
      </c>
      <c r="K6" s="2" t="n">
        <v>0.241</v>
      </c>
      <c r="L6" s="2" t="n">
        <v>0.45</v>
      </c>
      <c r="M6" s="2" t="inlineStr">
        <is>
          <t>OK</t>
        </is>
      </c>
    </row>
    <row r="7">
      <c r="A7" s="2" t="inlineStr">
        <is>
          <t>52hONjN3AMk</t>
        </is>
      </c>
      <c r="B7" s="2" t="inlineStr">
        <is>
          <t>1. COPIDIS Área Accesibilidad</t>
        </is>
      </c>
      <c r="C7" s="2" t="n">
        <v>56</v>
      </c>
      <c r="D7" s="2" t="inlineStr">
        <is>
          <t>Guía de Información 2018/2019 | Accesibilidad</t>
        </is>
      </c>
      <c r="E7" s="2" t="inlineStr">
        <is>
          <t>Accesibilidad</t>
        </is>
      </c>
      <c r="F7" s="2" t="inlineStr">
        <is>
          <t>DSC_0839 p.65 accesibilidad.MOV</t>
        </is>
      </c>
      <c r="G7" s="2" t="n">
        <v>63.76</v>
      </c>
      <c r="H7" s="2" t="inlineStr">
        <is>
          <t>Accesibilidad</t>
        </is>
      </c>
      <c r="I7" s="2" t="b">
        <v>1</v>
      </c>
      <c r="J7" s="2" t="n">
        <v>0.878</v>
      </c>
      <c r="K7" s="2" t="n">
        <v>0.234</v>
      </c>
      <c r="L7" s="2" t="n">
        <v>0.536</v>
      </c>
      <c r="M7" s="2" t="inlineStr">
        <is>
          <t>OK</t>
        </is>
      </c>
    </row>
    <row r="8">
      <c r="A8" s="2" t="inlineStr">
        <is>
          <t>2iYRa7hKg2g</t>
        </is>
      </c>
      <c r="B8" s="2" t="inlineStr">
        <is>
          <t>3. Pedir ayuda técnica</t>
        </is>
      </c>
      <c r="C8" s="2" t="n">
        <v>31</v>
      </c>
      <c r="D8" s="2" t="inlineStr">
        <is>
          <t>Guia de Información 2018/2019 | Servicios Sociales Zonales</t>
        </is>
      </c>
      <c r="E8" s="2" t="inlineStr">
        <is>
          <t>SSZonales</t>
        </is>
      </c>
      <c r="F8" s="2" t="inlineStr">
        <is>
          <t>DSC_0858 p. 75 ayuda tecnica.MOV</t>
        </is>
      </c>
      <c r="G8" s="2" t="n">
        <v>45.05</v>
      </c>
      <c r="H8" s="2" t="inlineStr">
        <is>
          <t>Accesibilidad</t>
        </is>
      </c>
      <c r="I8" s="2" t="b">
        <v>1</v>
      </c>
      <c r="J8" s="2" t="n">
        <v>0.6879999999999999</v>
      </c>
      <c r="K8" s="2" t="n">
        <v>0.231</v>
      </c>
      <c r="L8" s="2" t="n">
        <v>0.368</v>
      </c>
      <c r="M8" s="2" t="inlineStr">
        <is>
          <t>OK</t>
        </is>
      </c>
    </row>
    <row r="9">
      <c r="A9" s="2" t="inlineStr">
        <is>
          <t>DQO5MhSq8ks</t>
        </is>
      </c>
      <c r="B9" s="2" t="inlineStr">
        <is>
          <t>4. Perro guía o de asistencia</t>
        </is>
      </c>
      <c r="C9" s="2" t="n">
        <v>53</v>
      </c>
      <c r="D9" s="2" t="inlineStr">
        <is>
          <t>Guía de Información 2018/2019 | Transporte</t>
        </is>
      </c>
      <c r="E9" s="2" t="inlineStr">
        <is>
          <t>Transporte</t>
        </is>
      </c>
      <c r="F9" s="2" t="inlineStr">
        <is>
          <t>DSC_0812 Perro guia primera parte.MOV</t>
        </is>
      </c>
      <c r="G9" s="2" t="n">
        <v>48.95</v>
      </c>
      <c r="H9" s="2" t="inlineStr">
        <is>
          <t>Accesibilidad</t>
        </is>
      </c>
      <c r="I9" s="2" t="b">
        <v>1</v>
      </c>
      <c r="J9" s="2" t="n">
        <v>0.924</v>
      </c>
      <c r="K9" s="2" t="n">
        <v>0.226</v>
      </c>
      <c r="L9" s="2" t="n">
        <v>0.448</v>
      </c>
      <c r="M9" s="2" t="inlineStr">
        <is>
          <t>OK</t>
        </is>
      </c>
    </row>
    <row r="10">
      <c r="A10" s="2" t="inlineStr">
        <is>
          <t>-IdA4qbAncw</t>
        </is>
      </c>
      <c r="B10" s="2" t="inlineStr">
        <is>
          <t>4.  Vender en ferias artesanales</t>
        </is>
      </c>
      <c r="C10" s="2" t="n">
        <v>41</v>
      </c>
      <c r="D10" s="2" t="inlineStr">
        <is>
          <t>Guía de Información 2018/2019 | Trabajo</t>
        </is>
      </c>
      <c r="E10" s="2" t="inlineStr">
        <is>
          <t>Trabajo</t>
        </is>
      </c>
      <c r="F10" s="2" t="inlineStr">
        <is>
          <t>DSC_1034 ferias si.MOV</t>
        </is>
      </c>
      <c r="G10" s="2" t="n">
        <v>44.94</v>
      </c>
      <c r="H10" s="2" t="inlineStr">
        <is>
          <t>Trabajo</t>
        </is>
      </c>
      <c r="I10" s="2" t="b">
        <v>1</v>
      </c>
      <c r="J10" s="2" t="n">
        <v>0.912</v>
      </c>
      <c r="K10" s="2" t="n">
        <v>0.223</v>
      </c>
      <c r="L10" s="2" t="n">
        <v>0.542</v>
      </c>
      <c r="M10" s="2" t="inlineStr">
        <is>
          <t>OK</t>
        </is>
      </c>
    </row>
    <row r="11">
      <c r="A11" s="7" t="inlineStr">
        <is>
          <t>J6xUFDqW4BA</t>
        </is>
      </c>
      <c r="B11" s="7" t="inlineStr">
        <is>
          <t>1. Organizaciones Sociedad Civil - OSC</t>
        </is>
      </c>
      <c r="C11" s="7" t="n">
        <v>50</v>
      </c>
      <c r="D11" s="7" t="inlineStr">
        <is>
          <t>Guía de Información 2018/2019 | Participación</t>
        </is>
      </c>
      <c r="E11" s="7" t="inlineStr">
        <is>
          <t>Participacion</t>
        </is>
      </c>
      <c r="F11" s="7" t="inlineStr">
        <is>
          <t>DSC_1042 osc si.MOV</t>
        </is>
      </c>
      <c r="G11" s="7" t="n">
        <v>56.46</v>
      </c>
      <c r="H11" s="7" t="inlineStr">
        <is>
          <t>Participacion</t>
        </is>
      </c>
      <c r="I11" s="7" t="b">
        <v>1</v>
      </c>
      <c r="J11" s="7" t="n">
        <v>0.886</v>
      </c>
      <c r="K11" s="7" t="n">
        <v>0.214</v>
      </c>
      <c r="L11" s="7" t="n">
        <v>0.528</v>
      </c>
      <c r="M11" s="7" t="n"/>
    </row>
    <row r="12">
      <c r="A12" s="2" t="inlineStr">
        <is>
          <t>S2KHEqDAia0</t>
        </is>
      </c>
      <c r="B12" s="2" t="inlineStr">
        <is>
          <t>2. Materia didáctico Braille ↓</t>
        </is>
      </c>
      <c r="C12" s="2" t="n">
        <v>46</v>
      </c>
      <c r="D12" s="2" t="inlineStr">
        <is>
          <t>Guía de Información 2018/2019 | Educación</t>
        </is>
      </c>
      <c r="E12" s="2" t="inlineStr">
        <is>
          <t>Educacion</t>
        </is>
      </c>
      <c r="F12" s="2" t="inlineStr">
        <is>
          <t>DSC_0866 p.85 libros escolares accesibles.MOV</t>
        </is>
      </c>
      <c r="G12" s="2" t="n">
        <v>48.15</v>
      </c>
      <c r="H12" s="2" t="inlineStr">
        <is>
          <t>Educacion</t>
        </is>
      </c>
      <c r="I12" s="2" t="b">
        <v>1</v>
      </c>
      <c r="J12" s="2" t="n">
        <v>0.955</v>
      </c>
      <c r="K12" s="2" t="n">
        <v>0.208</v>
      </c>
      <c r="L12" s="2" t="n">
        <v>0.549</v>
      </c>
      <c r="M12" s="2" t="inlineStr">
        <is>
          <t>OK</t>
        </is>
      </c>
    </row>
    <row r="13">
      <c r="A13" s="2" t="inlineStr">
        <is>
          <t>jcWSZirq1ho</t>
        </is>
      </c>
      <c r="B13" s="2" t="inlineStr">
        <is>
          <t>7.  Afiliarse a Incluir Salud</t>
        </is>
      </c>
      <c r="C13" s="2" t="n">
        <v>49</v>
      </c>
      <c r="D13" s="2" t="inlineStr">
        <is>
          <t>Guía de Información 2018/2019 | Salud</t>
        </is>
      </c>
      <c r="E13" s="2" t="inlineStr">
        <is>
          <t>Salud</t>
        </is>
      </c>
      <c r="F13" s="2" t="inlineStr">
        <is>
          <t>DSC_0799 Incluir Salud tramite si.MOV</t>
        </is>
      </c>
      <c r="G13" s="2" t="n">
        <v>51.85</v>
      </c>
      <c r="H13" s="2" t="inlineStr">
        <is>
          <t>CUD</t>
        </is>
      </c>
      <c r="I13" s="2" t="b">
        <v>1</v>
      </c>
      <c r="J13" s="2" t="n">
        <v>0.945</v>
      </c>
      <c r="K13" s="2" t="n">
        <v>0.189</v>
      </c>
      <c r="L13" s="2" t="n">
        <v>0.435</v>
      </c>
      <c r="M13" s="2" t="inlineStr">
        <is>
          <t>OK</t>
        </is>
      </c>
    </row>
    <row r="14">
      <c r="A14" s="2" t="inlineStr">
        <is>
          <t>wSd8jKV42Y8</t>
        </is>
      </c>
      <c r="B14" s="2" t="inlineStr">
        <is>
          <t>1. Apoyos Educación</t>
        </is>
      </c>
      <c r="C14" s="2" t="n">
        <v>40</v>
      </c>
      <c r="D14" s="2" t="inlineStr">
        <is>
          <t>Guía de Información 2018/2019 | Educación</t>
        </is>
      </c>
      <c r="E14" s="2" t="inlineStr">
        <is>
          <t>Educacion</t>
        </is>
      </c>
      <c r="F14" s="2" t="inlineStr">
        <is>
          <t>DSC_0862 p. 85 apoyos copidis educacion.MOV</t>
        </is>
      </c>
      <c r="G14" s="2" t="n">
        <v>50.65</v>
      </c>
      <c r="H14" s="2" t="inlineStr">
        <is>
          <t>Educacion</t>
        </is>
      </c>
      <c r="I14" s="2" t="b">
        <v>1</v>
      </c>
      <c r="J14" s="2" t="n">
        <v>0.79</v>
      </c>
      <c r="K14" s="2" t="n">
        <v>0.179</v>
      </c>
      <c r="L14" s="2" t="n">
        <v>0.475</v>
      </c>
      <c r="M14" s="2" t="inlineStr">
        <is>
          <t>OK</t>
        </is>
      </c>
    </row>
    <row r="15">
      <c r="A15" s="7" t="inlineStr">
        <is>
          <t>kcChz0qrXZs</t>
        </is>
      </c>
      <c r="B15" s="7" t="inlineStr">
        <is>
          <t>5.  Símbolo Internacional de Acceso</t>
        </is>
      </c>
      <c r="C15" s="7" t="n">
        <v>66</v>
      </c>
      <c r="D15" s="7" t="inlineStr">
        <is>
          <t>Guía de Información 2018/2019 | Transporte</t>
        </is>
      </c>
      <c r="E15" s="7" t="inlineStr">
        <is>
          <t>Transporte</t>
        </is>
      </c>
      <c r="F15" s="7" t="inlineStr">
        <is>
          <t>DSC_0818 Simbolo si mejor.MOV</t>
        </is>
      </c>
      <c r="G15" s="7" t="n">
        <v>90.98999999999999</v>
      </c>
      <c r="H15" s="7" t="inlineStr">
        <is>
          <t>Accesibilidad</t>
        </is>
      </c>
      <c r="I15" s="7" t="b">
        <v>1</v>
      </c>
      <c r="J15" s="7" t="n">
        <v>0.725</v>
      </c>
      <c r="K15" s="7" t="n">
        <v>0.177</v>
      </c>
      <c r="L15" s="7" t="n">
        <v>0.351</v>
      </c>
      <c r="M15" s="7" t="n"/>
    </row>
    <row r="16">
      <c r="A16" s="2" t="inlineStr">
        <is>
          <t>4T68Q7fSeA4</t>
        </is>
      </c>
      <c r="B16" s="2" t="inlineStr">
        <is>
          <t>3. Registro Pequeños Comercios</t>
        </is>
      </c>
      <c r="C16" s="2" t="n">
        <v>55</v>
      </c>
      <c r="D16" s="2" t="inlineStr">
        <is>
          <t>Guía de Información 2018/2019 | Trabajo</t>
        </is>
      </c>
      <c r="E16" s="2" t="inlineStr">
        <is>
          <t>Trabajo</t>
        </is>
      </c>
      <c r="F16" s="2" t="inlineStr">
        <is>
          <t>DSC_1031pquenos com si.MOV</t>
        </is>
      </c>
      <c r="G16" s="2" t="n">
        <v>67.97</v>
      </c>
      <c r="H16" s="2" t="inlineStr">
        <is>
          <t>Trabajo</t>
        </is>
      </c>
      <c r="I16" s="2" t="b">
        <v>1</v>
      </c>
      <c r="J16" s="2" t="n">
        <v>0.8090000000000001</v>
      </c>
      <c r="K16" s="2" t="n">
        <v>0.174</v>
      </c>
      <c r="L16" s="2" t="n">
        <v>0.479</v>
      </c>
      <c r="M16" s="2" t="inlineStr">
        <is>
          <t>OK</t>
        </is>
      </c>
    </row>
    <row r="17">
      <c r="A17" s="2" t="inlineStr">
        <is>
          <t>_j3n-b6Fc_A</t>
        </is>
      </c>
      <c r="B17" s="2" t="inlineStr">
        <is>
          <t>1. Registro Único Laboral - RUL</t>
        </is>
      </c>
      <c r="C17" s="2" t="n">
        <v>68</v>
      </c>
      <c r="D17" s="2" t="inlineStr">
        <is>
          <t>Guía de Información 2018/2019 | Trabajo</t>
        </is>
      </c>
      <c r="E17" s="2" t="inlineStr">
        <is>
          <t>Trabajo</t>
        </is>
      </c>
      <c r="F17" s="2" t="inlineStr">
        <is>
          <t>DSC_0884 p.108 rul.MOV</t>
        </is>
      </c>
      <c r="G17" s="2" t="n">
        <v>74.06999999999999</v>
      </c>
      <c r="H17" s="2" t="inlineStr">
        <is>
          <t>Trabajo</t>
        </is>
      </c>
      <c r="I17" s="2" t="b">
        <v>1</v>
      </c>
      <c r="J17" s="2" t="n">
        <v>0.918</v>
      </c>
      <c r="K17" s="2" t="n">
        <v>0.165</v>
      </c>
      <c r="L17" s="2" t="n">
        <v>0.512</v>
      </c>
      <c r="M17" s="2" t="inlineStr">
        <is>
          <t>OK</t>
        </is>
      </c>
    </row>
    <row r="18">
      <c r="A18" s="2" t="inlineStr">
        <is>
          <t>ZbjWSR5fl88</t>
        </is>
      </c>
      <c r="B18" s="2" t="inlineStr">
        <is>
          <t>6.  App BA Accesible</t>
        </is>
      </c>
      <c r="C18" s="2" t="n">
        <v>64</v>
      </c>
      <c r="D18" s="2" t="inlineStr">
        <is>
          <t>Guía de Información 2018/2019 | Accesibilidad</t>
        </is>
      </c>
      <c r="E18" s="2" t="inlineStr">
        <is>
          <t>Accesibilidad</t>
        </is>
      </c>
      <c r="F18" s="2" t="inlineStr">
        <is>
          <t>DSC_0848 p.70 BAapp.MOV</t>
        </is>
      </c>
      <c r="G18" s="2" t="n">
        <v>69.67</v>
      </c>
      <c r="H18" s="2" t="inlineStr">
        <is>
          <t>Accesibilidad</t>
        </is>
      </c>
      <c r="I18" s="2" t="b">
        <v>1</v>
      </c>
      <c r="J18" s="2" t="n">
        <v>0.919</v>
      </c>
      <c r="K18" s="2" t="n">
        <v>0.138</v>
      </c>
      <c r="L18" s="2" t="n">
        <v>0.497</v>
      </c>
      <c r="M18" s="2" t="inlineStr">
        <is>
          <t>OK</t>
        </is>
      </c>
    </row>
    <row r="19">
      <c r="A19" s="2" t="inlineStr">
        <is>
          <t>5J9xY8gOdUY</t>
        </is>
      </c>
      <c r="B19" s="2" t="inlineStr">
        <is>
          <t>4. Apoyos Ministerio de Educación</t>
        </is>
      </c>
      <c r="C19" s="2" t="n">
        <v>37</v>
      </c>
      <c r="D19" s="2" t="inlineStr">
        <is>
          <t>Guía de Información 2018/2019 | Educación</t>
        </is>
      </c>
      <c r="E19" s="2" t="inlineStr">
        <is>
          <t>Educacion</t>
        </is>
      </c>
      <c r="F19" s="2" t="inlineStr">
        <is>
          <t>DSC_0873 p.87 que apoyos te da el Ministerio de Educacion.MOV</t>
        </is>
      </c>
      <c r="G19" s="2" t="n">
        <v>40.14</v>
      </c>
      <c r="H19" s="2" t="inlineStr">
        <is>
          <t>Educacion</t>
        </is>
      </c>
      <c r="I19" s="2" t="b">
        <v>1</v>
      </c>
      <c r="J19" s="2" t="n">
        <v>0.922</v>
      </c>
      <c r="K19" s="2" t="n">
        <v>0.136</v>
      </c>
      <c r="L19" s="2" t="n">
        <v>0.497</v>
      </c>
      <c r="M19" s="2" t="inlineStr">
        <is>
          <t>OK</t>
        </is>
      </c>
    </row>
    <row r="20">
      <c r="A20" s="2" t="inlineStr">
        <is>
          <t>kMOBrkojQbw</t>
        </is>
      </c>
      <c r="B20" s="2" t="inlineStr">
        <is>
          <t>1. Banco de Elementos Ortopédicos - BEO</t>
        </is>
      </c>
      <c r="C20" s="2" t="n">
        <v>29</v>
      </c>
      <c r="D20" s="2" t="inlineStr">
        <is>
          <t>Guía de Información 2018/2019 | Vida Independiente</t>
        </is>
      </c>
      <c r="E20" s="2" t="inlineStr">
        <is>
          <t>VidaIndependiente</t>
        </is>
      </c>
      <c r="F20" s="2" t="inlineStr">
        <is>
          <t>DSC_0882 p,105 beo.MOV</t>
        </is>
      </c>
      <c r="G20" s="2" t="n">
        <v>32.43</v>
      </c>
      <c r="H20" s="2" t="inlineStr">
        <is>
          <t>Salud</t>
        </is>
      </c>
      <c r="I20" s="2" t="b">
        <v>1</v>
      </c>
      <c r="J20" s="2" t="n">
        <v>0.894</v>
      </c>
      <c r="K20" s="2" t="n">
        <v>0.136</v>
      </c>
      <c r="L20" s="2" t="n">
        <v>0.388</v>
      </c>
      <c r="M20" s="2" t="inlineStr">
        <is>
          <t>OK</t>
        </is>
      </c>
    </row>
    <row r="21">
      <c r="A21" s="2" t="inlineStr">
        <is>
          <t>u07hL-EzTpY</t>
        </is>
      </c>
      <c r="B21" s="2" t="inlineStr">
        <is>
          <t>1. Programa Hogares</t>
        </is>
      </c>
      <c r="C21" s="2" t="n">
        <v>52</v>
      </c>
      <c r="D21" s="2" t="inlineStr">
        <is>
          <t>Guia de Información 2018/2019 | Servicios Sociales Zonales</t>
        </is>
      </c>
      <c r="E21" s="2" t="inlineStr">
        <is>
          <t>SSZonales</t>
        </is>
      </c>
      <c r="F21" s="2" t="inlineStr">
        <is>
          <t>DSC_0851 p.73.MOV</t>
        </is>
      </c>
      <c r="G21" s="2" t="n">
        <v>55.66</v>
      </c>
      <c r="H21" s="2" t="inlineStr">
        <is>
          <t>Accesibilidad</t>
        </is>
      </c>
      <c r="I21" s="2" t="b">
        <v>1</v>
      </c>
      <c r="J21" s="2" t="n">
        <v>0.9340000000000001</v>
      </c>
      <c r="K21" s="2" t="n">
        <v>0.13</v>
      </c>
      <c r="L21" s="2" t="n">
        <v>0.399</v>
      </c>
      <c r="M21" s="2" t="inlineStr">
        <is>
          <t>OK</t>
        </is>
      </c>
    </row>
    <row r="22">
      <c r="A22" s="7" t="inlineStr">
        <is>
          <t>OTmV28NGG5I</t>
        </is>
      </c>
      <c r="B22" s="7" t="inlineStr">
        <is>
          <t>2 - Fortalecimiento ↓</t>
        </is>
      </c>
      <c r="C22" s="7" t="n">
        <v>25</v>
      </c>
      <c r="D22" s="7" t="inlineStr">
        <is>
          <t>Guía de Información 2018/2019 | Participación</t>
        </is>
      </c>
      <c r="E22" s="7" t="inlineStr">
        <is>
          <t>Participacion</t>
        </is>
      </c>
      <c r="F22" s="7" t="inlineStr">
        <is>
          <t>DSC_1044 fortalecimiento si.MOV</t>
        </is>
      </c>
      <c r="G22" s="7" t="n">
        <v>38.04</v>
      </c>
      <c r="H22" s="7" t="inlineStr">
        <is>
          <t>Participacion</t>
        </is>
      </c>
      <c r="I22" s="7" t="b">
        <v>1</v>
      </c>
      <c r="J22" s="7" t="n">
        <v>0.657</v>
      </c>
      <c r="K22" s="7" t="n">
        <v>0.118</v>
      </c>
      <c r="L22" s="7" t="n">
        <v>0.395</v>
      </c>
      <c r="M22" s="7" t="n"/>
    </row>
    <row r="23">
      <c r="A23" s="2" t="inlineStr">
        <is>
          <t>T_vgQJhMWf8</t>
        </is>
      </c>
      <c r="B23" s="2" t="inlineStr">
        <is>
          <t>2. Apoyos del Gobierno de la Nación</t>
        </is>
      </c>
      <c r="C23" s="2" t="n">
        <v>44</v>
      </c>
      <c r="D23" s="2" t="inlineStr">
        <is>
          <t>Guia de Información 2018/2019 | Servicios Sociales Zonales</t>
        </is>
      </c>
      <c r="E23" s="2" t="inlineStr">
        <is>
          <t>SSZonales</t>
        </is>
      </c>
      <c r="F23" s="2" t="inlineStr">
        <is>
          <t>DSC_0856 p.74.MOV</t>
        </is>
      </c>
      <c r="G23" s="2" t="n">
        <v>51.25</v>
      </c>
      <c r="H23" s="2" t="inlineStr">
        <is>
          <t>Accesibilidad</t>
        </is>
      </c>
      <c r="I23" s="2" t="b">
        <v>1</v>
      </c>
      <c r="J23" s="2" t="n">
        <v>0.859</v>
      </c>
      <c r="K23" s="2" t="n">
        <v>0.108</v>
      </c>
      <c r="L23" s="2" t="n">
        <v>0.36</v>
      </c>
      <c r="M23" s="2" t="inlineStr">
        <is>
          <t>OK</t>
        </is>
      </c>
    </row>
    <row r="24">
      <c r="A24" s="7" t="inlineStr">
        <is>
          <t>Vil9KHTo8p8</t>
        </is>
      </c>
      <c r="B24" s="7" t="inlineStr">
        <is>
          <t>2.  Qué son las prestaciones básicas de salud</t>
        </is>
      </c>
      <c r="C24" s="7" t="n">
        <v>32</v>
      </c>
      <c r="D24" s="7" t="inlineStr">
        <is>
          <t>Guía de Información 2018/2019 | Salud</t>
        </is>
      </c>
      <c r="E24" s="7" t="inlineStr">
        <is>
          <t>Salud</t>
        </is>
      </c>
      <c r="F24" s="7" t="inlineStr">
        <is>
          <t>DSC_0798 Incluir Salud que es si.MOV</t>
        </is>
      </c>
      <c r="G24" s="7" t="n">
        <v>36.34</v>
      </c>
      <c r="H24" s="7" t="inlineStr">
        <is>
          <t>Salud</t>
        </is>
      </c>
      <c r="I24" s="7" t="b">
        <v>1</v>
      </c>
      <c r="J24" s="7" t="n">
        <v>0.881</v>
      </c>
      <c r="K24" s="7" t="n">
        <v>0.101</v>
      </c>
      <c r="L24" s="7" t="n">
        <v>0.464</v>
      </c>
      <c r="M24" s="7" t="n"/>
    </row>
    <row r="25">
      <c r="A25" s="2" t="inlineStr">
        <is>
          <t>XxDsNzglSzU</t>
        </is>
      </c>
      <c r="B25" s="2" t="inlineStr">
        <is>
          <t>6.  Incluir Salud</t>
        </is>
      </c>
      <c r="C25" s="2" t="n">
        <v>23</v>
      </c>
      <c r="D25" s="2" t="inlineStr">
        <is>
          <t>Guía de Información 2018/2019 | Salud</t>
        </is>
      </c>
      <c r="E25" s="2" t="inlineStr">
        <is>
          <t>Salud</t>
        </is>
      </c>
      <c r="F25" s="2" t="inlineStr">
        <is>
          <t>DSC_0798 Incluir Salud que es si.MOV</t>
        </is>
      </c>
      <c r="G25" s="2" t="n">
        <v>36.34</v>
      </c>
      <c r="H25" s="2" t="inlineStr">
        <is>
          <t>Salud</t>
        </is>
      </c>
      <c r="I25" s="2" t="b">
        <v>1</v>
      </c>
      <c r="J25" s="2" t="n">
        <v>0.881</v>
      </c>
      <c r="K25" s="2" t="n">
        <v>0.101</v>
      </c>
      <c r="L25" s="2" t="n">
        <v>0.464</v>
      </c>
      <c r="M25" s="2" t="inlineStr">
        <is>
          <t>OK</t>
        </is>
      </c>
    </row>
    <row r="26">
      <c r="A26" s="2" t="inlineStr">
        <is>
          <t>oE49uoxSRr8</t>
        </is>
      </c>
      <c r="B26" s="2" t="inlineStr">
        <is>
          <t>4. Reclamos online</t>
        </is>
      </c>
      <c r="C26" s="2" t="n">
        <v>27</v>
      </c>
      <c r="D26" s="2" t="inlineStr">
        <is>
          <t>Guía de Información 2018/2019 | Accesibilidad</t>
        </is>
      </c>
      <c r="E26" s="2" t="inlineStr">
        <is>
          <t>Accesibilidad</t>
        </is>
      </c>
      <c r="F26" s="2" t="inlineStr">
        <is>
          <t>DSC_0846 p.68 lugr publico.MOV</t>
        </is>
      </c>
      <c r="G26" s="2" t="n">
        <v>31.53</v>
      </c>
      <c r="H26" s="2" t="inlineStr">
        <is>
          <t>Accesibilidad</t>
        </is>
      </c>
      <c r="I26" s="2" t="b">
        <v>1</v>
      </c>
      <c r="J26" s="2" t="n">
        <v>0.856</v>
      </c>
      <c r="K26" s="2" t="n">
        <v>0.083</v>
      </c>
      <c r="L26" s="2" t="n">
        <v>0.445</v>
      </c>
      <c r="M26" s="2" t="inlineStr">
        <is>
          <t>OK</t>
        </is>
      </c>
    </row>
    <row r="27">
      <c r="A27" s="2" t="inlineStr">
        <is>
          <t>JxP7w7g28D4</t>
        </is>
      </c>
      <c r="B27" s="2" t="inlineStr">
        <is>
          <t>6.  Apoyos y ajustes razonables</t>
        </is>
      </c>
      <c r="C27" s="2" t="n">
        <v>39</v>
      </c>
      <c r="D27" s="2" t="inlineStr">
        <is>
          <t>Guía de Información 2018/2019 | Certificado Único de Discapacidad - CUD</t>
        </is>
      </c>
      <c r="E27" s="2" t="inlineStr">
        <is>
          <t>CUD</t>
        </is>
      </c>
      <c r="F27" s="2" t="inlineStr">
        <is>
          <t>DSC_0738 Apoyo3 final.MOV</t>
        </is>
      </c>
      <c r="G27" s="2" t="n">
        <v>42.24</v>
      </c>
      <c r="H27" s="2" t="inlineStr">
        <is>
          <t>unknown</t>
        </is>
      </c>
      <c r="I27" s="2" t="b">
        <v>0</v>
      </c>
      <c r="J27" s="2" t="n">
        <v>0.923</v>
      </c>
      <c r="K27" s="2" t="n">
        <v>0.04</v>
      </c>
      <c r="L27" s="2" t="n">
        <v>0.345</v>
      </c>
      <c r="M27" s="2" t="inlineStr">
        <is>
          <t>OK</t>
        </is>
      </c>
    </row>
    <row r="28">
      <c r="A28" s="7" t="inlineStr">
        <is>
          <t>bw6hm44CRQk</t>
        </is>
      </c>
      <c r="B28" s="7" t="inlineStr">
        <is>
          <t>1.  Prestaciones básicas de salud</t>
        </is>
      </c>
      <c r="C28" s="7" t="n">
        <v>15</v>
      </c>
      <c r="D28" s="7" t="inlineStr">
        <is>
          <t>Guía de Información 2018/2019 | Salud</t>
        </is>
      </c>
      <c r="E28" s="7" t="inlineStr">
        <is>
          <t>Salud</t>
        </is>
      </c>
      <c r="F28" s="7" t="inlineStr">
        <is>
          <t>DSC_0702 Titulo Salud Transp Acc.MOV</t>
        </is>
      </c>
      <c r="G28" s="7" t="n">
        <v>12.61</v>
      </c>
      <c r="H28" s="7" t="inlineStr">
        <is>
          <t>Salud</t>
        </is>
      </c>
      <c r="I28" s="7" t="b">
        <v>0</v>
      </c>
      <c r="J28" s="7" t="n">
        <v>0.841</v>
      </c>
      <c r="K28" s="7" t="n">
        <v>0.021</v>
      </c>
      <c r="L28" s="7" t="n">
        <v>0.406</v>
      </c>
      <c r="M28" s="7" t="n"/>
    </row>
    <row r="29">
      <c r="A29" s="2" t="inlineStr">
        <is>
          <t>bw6hm44CRQk</t>
        </is>
      </c>
      <c r="B29" s="2" t="inlineStr">
        <is>
          <t>1.  Prestaciones básicas de salud</t>
        </is>
      </c>
      <c r="C29" s="2" t="n">
        <v>15</v>
      </c>
      <c r="D29" s="2" t="inlineStr">
        <is>
          <t>Guía de Información 2018/2019 | Salud</t>
        </is>
      </c>
      <c r="E29" s="2" t="inlineStr">
        <is>
          <t>Salud</t>
        </is>
      </c>
      <c r="F29" s="2" t="inlineStr">
        <is>
          <t>DSC_0726 salud2 si.MOV</t>
        </is>
      </c>
      <c r="G29" s="2" t="n">
        <v>20.12</v>
      </c>
      <c r="H29" s="2" t="inlineStr">
        <is>
          <t>Salud</t>
        </is>
      </c>
      <c r="I29" s="2" t="b">
        <v>0</v>
      </c>
      <c r="J29" s="2" t="n">
        <v>0.875</v>
      </c>
      <c r="K29" s="2" t="n">
        <v>0</v>
      </c>
      <c r="L29" s="2" t="n">
        <v>0.406</v>
      </c>
      <c r="M29" s="2" t="inlineStr">
        <is>
          <t>OK</t>
        </is>
      </c>
    </row>
    <row r="30">
      <c r="A30" s="7" t="inlineStr">
        <is>
          <t>AU3OdF0iNv0</t>
        </is>
      </c>
      <c r="B30" s="7" t="inlineStr">
        <is>
          <t>5. Cobertura Porteña Salud</t>
        </is>
      </c>
      <c r="C30" s="7" t="n">
        <v>34</v>
      </c>
      <c r="D30" s="7" t="inlineStr">
        <is>
          <t>Guía de Información 2018/2019 | Salud</t>
        </is>
      </c>
      <c r="E30" s="7" t="inlineStr">
        <is>
          <t>Salud</t>
        </is>
      </c>
      <c r="F30" s="7" t="inlineStr">
        <is>
          <t>DSC_0789 Serv Salud basico si.MOV</t>
        </is>
      </c>
      <c r="G30" s="7" t="n">
        <v>33.13</v>
      </c>
      <c r="H30" s="7" t="inlineStr">
        <is>
          <t>Salud</t>
        </is>
      </c>
      <c r="I30" s="7" t="b">
        <v>0</v>
      </c>
      <c r="J30" s="7" t="n">
        <v>0.974</v>
      </c>
      <c r="K30" s="7" t="n">
        <v>0.016</v>
      </c>
      <c r="L30" s="7" t="n">
        <v>0.45</v>
      </c>
      <c r="M30" s="7" t="n"/>
    </row>
    <row r="31">
      <c r="A31" s="2" t="inlineStr">
        <is>
          <t>Vil9KHTo8p8</t>
        </is>
      </c>
      <c r="B31" s="2" t="inlineStr">
        <is>
          <t>2.  Qué son las prestaciones básicas de salud</t>
        </is>
      </c>
      <c r="C31" s="2" t="n">
        <v>32</v>
      </c>
      <c r="D31" s="2" t="inlineStr">
        <is>
          <t>Guía de Información 2018/2019 | Salud</t>
        </is>
      </c>
      <c r="E31" s="2" t="inlineStr">
        <is>
          <t>Salud</t>
        </is>
      </c>
      <c r="F31" s="2" t="inlineStr">
        <is>
          <t>DSC_0789 Serv Salud basico si.MOV</t>
        </is>
      </c>
      <c r="G31" s="2" t="n">
        <v>33.13</v>
      </c>
      <c r="H31" s="2" t="inlineStr">
        <is>
          <t>Salud</t>
        </is>
      </c>
      <c r="I31" s="2" t="b">
        <v>0</v>
      </c>
      <c r="J31" s="2" t="n">
        <v>0.974</v>
      </c>
      <c r="K31" s="2" t="n">
        <v>0.016</v>
      </c>
      <c r="L31" s="2" t="n">
        <v>0.45</v>
      </c>
      <c r="M31" s="2" t="inlineStr">
        <is>
          <t>OK</t>
        </is>
      </c>
    </row>
    <row r="32">
      <c r="A32" s="7" t="inlineStr">
        <is>
          <t>Wns-CUyyQL0</t>
        </is>
      </c>
      <c r="B32" s="7" t="inlineStr">
        <is>
          <t>7. Materiales didácticos</t>
        </is>
      </c>
      <c r="C32" s="7" t="n">
        <v>29</v>
      </c>
      <c r="D32" s="7" t="inlineStr">
        <is>
          <t>Guía de Información 2018/2019 | Educación</t>
        </is>
      </c>
      <c r="E32" s="7" t="inlineStr">
        <is>
          <t>Educacion</t>
        </is>
      </c>
      <c r="F32" s="7" t="inlineStr">
        <is>
          <t>DSC_0878 p. 95 escuelas hospitalarias.MOV</t>
        </is>
      </c>
      <c r="G32" s="7" t="n">
        <v>30.63</v>
      </c>
      <c r="H32" s="7" t="inlineStr">
        <is>
          <t>Educacion</t>
        </is>
      </c>
      <c r="I32" s="7" t="b">
        <v>1</v>
      </c>
      <c r="J32" s="7" t="n">
        <v>0.947</v>
      </c>
      <c r="K32" s="7" t="n">
        <v>0.013</v>
      </c>
      <c r="L32" s="7" t="n">
        <v>0.439</v>
      </c>
      <c r="M32" s="7" t="n"/>
    </row>
    <row r="33">
      <c r="A33" s="10" t="inlineStr">
        <is>
          <t>QlS5zsPqw3k</t>
        </is>
      </c>
      <c r="B33" s="10" t="inlineStr">
        <is>
          <t>6. Escuela hospitalaria o domiciliaria</t>
        </is>
      </c>
      <c r="C33" s="11" t="n">
        <v>27</v>
      </c>
      <c r="D33" s="10" t="inlineStr">
        <is>
          <t>Guía de Información 2018/2019 | Educación</t>
        </is>
      </c>
      <c r="E33" s="10" t="inlineStr">
        <is>
          <t>Educacion</t>
        </is>
      </c>
      <c r="F33" s="10" t="inlineStr">
        <is>
          <t>DSC_0878 p. 95 escuelas hospitalarias.MOV</t>
        </is>
      </c>
      <c r="G33" s="11" t="n">
        <v>30.63</v>
      </c>
      <c r="H33" s="10" t="inlineStr">
        <is>
          <t>Educacion</t>
        </is>
      </c>
      <c r="I33" s="12" t="b">
        <v>1</v>
      </c>
      <c r="J33" s="11" t="n">
        <v>0.947</v>
      </c>
      <c r="K33" s="11" t="n">
        <v>0.013</v>
      </c>
      <c r="L33" s="11" t="n">
        <v>0.439</v>
      </c>
      <c r="M33" s="10" t="inlineStr">
        <is>
          <t>OK</t>
        </is>
      </c>
    </row>
    <row r="34">
      <c r="A34" s="7" t="inlineStr">
        <is>
          <t>jomsMKgYkyQ</t>
        </is>
      </c>
      <c r="B34" s="7" t="inlineStr">
        <is>
          <t>3.  Pedir prestaciones básicas de salud</t>
        </is>
      </c>
      <c r="C34" s="7" t="n">
        <v>37</v>
      </c>
      <c r="D34" s="7" t="inlineStr">
        <is>
          <t>Guía de Información 2018/2019 | Salud</t>
        </is>
      </c>
      <c r="E34" s="7" t="inlineStr">
        <is>
          <t>Salud</t>
        </is>
      </c>
      <c r="F34" s="7" t="inlineStr">
        <is>
          <t>DSC_0797 Plan Salud Ciudad si.MOV</t>
        </is>
      </c>
      <c r="G34" s="7" t="n">
        <v>38.14</v>
      </c>
      <c r="H34" s="7" t="inlineStr">
        <is>
          <t>Salud</t>
        </is>
      </c>
      <c r="I34" s="7" t="b">
        <v>1</v>
      </c>
      <c r="J34" s="7" t="n">
        <v>0.97</v>
      </c>
      <c r="K34" s="7" t="n">
        <v>0.008</v>
      </c>
      <c r="L34" s="7" t="n">
        <v>0.444</v>
      </c>
      <c r="M34" s="7" t="n"/>
    </row>
    <row r="35">
      <c r="A35" s="2" t="inlineStr">
        <is>
          <t>jomsMKgYkyQ</t>
        </is>
      </c>
      <c r="B35" s="2" t="inlineStr">
        <is>
          <t>3.  Pedir prestaciones básicas de salud</t>
        </is>
      </c>
      <c r="C35" s="2" t="n">
        <v>37</v>
      </c>
      <c r="D35" s="2" t="inlineStr">
        <is>
          <t>Guía de Información 2018/2019 | Salud</t>
        </is>
      </c>
      <c r="E35" s="2" t="inlineStr">
        <is>
          <t>Salud</t>
        </is>
      </c>
      <c r="F35" s="2" t="inlineStr">
        <is>
          <t>DSC_0792 Serv Salud basico si</t>
        </is>
      </c>
      <c r="G35" s="2" t="n"/>
      <c r="H35" s="2" t="inlineStr">
        <is>
          <t>Salud</t>
        </is>
      </c>
      <c r="I35" s="2" t="n"/>
      <c r="J35" s="2" t="n"/>
      <c r="K35" s="2" t="n"/>
      <c r="L35" s="2" t="n"/>
      <c r="M35" s="2" t="inlineStr">
        <is>
          <t>OK</t>
        </is>
      </c>
    </row>
    <row r="36">
      <c r="A36" s="2" t="inlineStr">
        <is>
          <t>AU3OdF0iNv0</t>
        </is>
      </c>
      <c r="B36" s="2" t="inlineStr">
        <is>
          <t>5. Cobertura Porteña Salud</t>
        </is>
      </c>
      <c r="C36" s="2" t="n">
        <v>34</v>
      </c>
      <c r="D36" s="2" t="inlineStr">
        <is>
          <t>Guía de Información 2018/2019 | Salud</t>
        </is>
      </c>
      <c r="E36" s="2" t="inlineStr">
        <is>
          <t>Salud</t>
        </is>
      </c>
      <c r="F36" s="2" t="inlineStr">
        <is>
          <t>DSC_0797 Plan Salud Ciudad si.MOV</t>
        </is>
      </c>
      <c r="G36" s="2" t="n">
        <v>38.14</v>
      </c>
      <c r="H36" s="2" t="inlineStr">
        <is>
          <t>Salud</t>
        </is>
      </c>
      <c r="I36" s="2" t="b">
        <v>1</v>
      </c>
      <c r="J36" s="2" t="n">
        <v>0.97</v>
      </c>
      <c r="K36" s="2" t="n">
        <v>0.008</v>
      </c>
      <c r="L36" s="2" t="n">
        <v>0.444</v>
      </c>
      <c r="M36" s="2" t="inlineStr">
        <is>
          <t>OK</t>
        </is>
      </c>
    </row>
    <row r="37">
      <c r="A37" s="7" t="inlineStr">
        <is>
          <t>6lWq6bCXwTY</t>
        </is>
      </c>
      <c r="B37" s="7" t="inlineStr">
        <is>
          <t>8. ¿Que podes hacer si perdiste o te robaron el CUD?</t>
        </is>
      </c>
      <c r="C37" s="7" t="n">
        <v>58</v>
      </c>
      <c r="D37" s="7" t="inlineStr">
        <is>
          <t>Guía de Información 2018/2019 | Certificado Único de Discapacidad - CUD</t>
        </is>
      </c>
      <c r="E37" s="7" t="inlineStr">
        <is>
          <t>CUD</t>
        </is>
      </c>
      <c r="F37" s="7" t="inlineStr">
        <is>
          <t>DSC_0826 Franquicia si.MOV</t>
        </is>
      </c>
      <c r="G37" s="7" t="n">
        <v>41.04</v>
      </c>
      <c r="H37" s="7" t="inlineStr">
        <is>
          <t>BeneficiosFiscales</t>
        </is>
      </c>
      <c r="I37" s="7" t="b">
        <v>1</v>
      </c>
      <c r="J37" s="7" t="n">
        <v>0.708</v>
      </c>
      <c r="K37" s="7" t="n">
        <v>0.005</v>
      </c>
      <c r="L37" s="7" t="n">
        <v>0.25</v>
      </c>
      <c r="M37" s="7" t="n"/>
    </row>
    <row r="38">
      <c r="A38" s="2" t="inlineStr">
        <is>
          <t>gSe9tkhgOT0</t>
        </is>
      </c>
      <c r="B38" s="2" t="inlineStr">
        <is>
          <t>7. Franquicias</t>
        </is>
      </c>
      <c r="C38" s="2" t="n">
        <v>37</v>
      </c>
      <c r="D38" s="2" t="inlineStr">
        <is>
          <t>Guía de Información 2018/2019 | Transporte</t>
        </is>
      </c>
      <c r="E38" s="2" t="inlineStr">
        <is>
          <t>Transporte</t>
        </is>
      </c>
      <c r="F38" s="10" t="inlineStr">
        <is>
          <t>DSC_0826 Franquicia si.MOV</t>
        </is>
      </c>
      <c r="G38" s="11" t="n">
        <v>41.04</v>
      </c>
      <c r="H38" s="10" t="inlineStr">
        <is>
          <t>BeneficiosFiscales</t>
        </is>
      </c>
      <c r="I38" s="12" t="b">
        <v>1</v>
      </c>
      <c r="J38" s="11" t="n">
        <v>0.708</v>
      </c>
      <c r="K38" s="11" t="n">
        <v>0.005</v>
      </c>
      <c r="L38" s="11" t="n">
        <v>0.25</v>
      </c>
      <c r="M38" s="10" t="inlineStr">
        <is>
          <t>OK</t>
        </is>
      </c>
    </row>
    <row r="39">
      <c r="A39" s="7" t="inlineStr">
        <is>
          <t>bg8ySVMa71A</t>
        </is>
      </c>
      <c r="B39" s="7" t="inlineStr">
        <is>
          <t>Circuito 8 y 9: Provincia de Buenos Aires/ Mar del Plata</t>
        </is>
      </c>
      <c r="C39" s="7" t="n">
        <v>60</v>
      </c>
      <c r="D39" s="7" t="inlineStr">
        <is>
          <t>Guía de Turismo 2018/2019</t>
        </is>
      </c>
      <c r="E39" s="7" t="inlineStr">
        <is>
          <t>Turismo</t>
        </is>
      </c>
      <c r="F39" s="7" t="inlineStr">
        <is>
          <t>DSC_0795 Sin rta si.MOV</t>
        </is>
      </c>
      <c r="G39" s="7" t="n">
        <v>60.26</v>
      </c>
      <c r="H39" s="7" t="inlineStr">
        <is>
          <t>unknown</t>
        </is>
      </c>
      <c r="I39" s="7" t="b">
        <v>1</v>
      </c>
      <c r="J39" s="7" t="n">
        <v>0.996</v>
      </c>
      <c r="K39" s="7" t="n">
        <v>0</v>
      </c>
      <c r="L39" s="7" t="n">
        <v>0.349</v>
      </c>
      <c r="M39" s="7" t="n"/>
    </row>
    <row r="40">
      <c r="A40" s="7" t="inlineStr">
        <is>
          <t>qxy6Wv4NRB4</t>
        </is>
      </c>
      <c r="B40" s="7" t="inlineStr">
        <is>
          <t>1. ¿Qué es el certificado Único de Discapacidad?</t>
        </is>
      </c>
      <c r="C40" s="7" t="n">
        <v>23</v>
      </c>
      <c r="D40" s="7" t="inlineStr">
        <is>
          <t>Guía de Información 2018/2019 | Certificado Único de Discapacidad - CUD</t>
        </is>
      </c>
      <c r="E40" s="7" t="inlineStr">
        <is>
          <t>CUD</t>
        </is>
      </c>
      <c r="F40" s="7" t="inlineStr">
        <is>
          <t>DSC_0724 CUD uso5 si.MOV</t>
        </is>
      </c>
      <c r="G40" s="7" t="n">
        <v>23.12</v>
      </c>
      <c r="H40" s="7" t="inlineStr">
        <is>
          <t>CUD</t>
        </is>
      </c>
      <c r="I40" s="7" t="b">
        <v>0</v>
      </c>
      <c r="J40" s="7" t="n">
        <v>0.995</v>
      </c>
      <c r="K40" s="7" t="n">
        <v>0</v>
      </c>
      <c r="L40" s="7" t="n">
        <v>0.448</v>
      </c>
      <c r="M40" s="7" t="n"/>
    </row>
    <row r="41">
      <c r="A41" s="7" t="inlineStr">
        <is>
          <t>QlS5zsPqw3k</t>
        </is>
      </c>
      <c r="B41" s="7" t="inlineStr">
        <is>
          <t>6. Escuela hospitalaria o domiciliaria</t>
        </is>
      </c>
      <c r="C41" s="7" t="n">
        <v>27</v>
      </c>
      <c r="D41" s="7" t="inlineStr">
        <is>
          <t>Guía de Información 2018/2019 | Educación</t>
        </is>
      </c>
      <c r="E41" s="7" t="inlineStr">
        <is>
          <t>Educacion</t>
        </is>
      </c>
      <c r="F41" s="7" t="inlineStr">
        <is>
          <t>DSC_1035 programas nacion.MOV</t>
        </is>
      </c>
      <c r="G41" s="7" t="n">
        <v>27.13</v>
      </c>
      <c r="H41" s="7" t="inlineStr">
        <is>
          <t>unknown</t>
        </is>
      </c>
      <c r="I41" s="7" t="b">
        <v>1</v>
      </c>
      <c r="J41" s="7" t="n">
        <v>0.995</v>
      </c>
      <c r="K41" s="7" t="n">
        <v>0</v>
      </c>
      <c r="L41" s="7" t="n">
        <v>0.348</v>
      </c>
      <c r="M41" s="7" t="n"/>
    </row>
    <row r="42">
      <c r="A42" s="2" t="inlineStr">
        <is>
          <t>dzQ8_c5glyA</t>
        </is>
      </c>
      <c r="B42" s="2" t="inlineStr">
        <is>
          <t>5.  Programas Nación 16 ↓</t>
        </is>
      </c>
      <c r="C42" s="2" t="n">
        <v>24</v>
      </c>
      <c r="D42" s="2" t="inlineStr">
        <is>
          <t>Guía de Información 2018/2019 | Trabajo</t>
        </is>
      </c>
      <c r="E42" s="2" t="inlineStr">
        <is>
          <t>Educacion</t>
        </is>
      </c>
      <c r="F42" s="2" t="inlineStr">
        <is>
          <t>DSC_1035 programas nacion.MOV</t>
        </is>
      </c>
      <c r="G42" s="2" t="n">
        <v>27.13</v>
      </c>
      <c r="H42" s="2" t="inlineStr">
        <is>
          <t>unknown</t>
        </is>
      </c>
      <c r="I42" s="2" t="b">
        <v>1</v>
      </c>
      <c r="J42" s="2" t="n">
        <v>0.995</v>
      </c>
      <c r="K42" s="2" t="n">
        <v>0</v>
      </c>
      <c r="L42" s="2" t="n">
        <v>0.348</v>
      </c>
      <c r="M42" s="2" t="inlineStr">
        <is>
          <t>OK</t>
        </is>
      </c>
    </row>
    <row r="43">
      <c r="A43" s="7" t="inlineStr">
        <is>
          <t>dzQ8_c5glyA</t>
        </is>
      </c>
      <c r="B43" s="7" t="inlineStr">
        <is>
          <t>5.  Programas Nación 16 ↓</t>
        </is>
      </c>
      <c r="C43" s="7" t="n">
        <v>24</v>
      </c>
      <c r="D43" s="7" t="inlineStr">
        <is>
          <t>Guía de Información 2018/2019 | Trabajo</t>
        </is>
      </c>
      <c r="E43" s="7" t="inlineStr">
        <is>
          <t>Trabajo</t>
        </is>
      </c>
      <c r="F43" s="7" t="inlineStr">
        <is>
          <t>DSC_0719 CUD tram4 si.MOV</t>
        </is>
      </c>
      <c r="G43" s="7" t="n">
        <v>24.12</v>
      </c>
      <c r="H43" s="7" t="inlineStr">
        <is>
          <t>CUD</t>
        </is>
      </c>
      <c r="I43" s="7" t="b">
        <v>0</v>
      </c>
      <c r="J43" s="7" t="n">
        <v>0.995</v>
      </c>
      <c r="K43" s="7" t="n">
        <v>0</v>
      </c>
      <c r="L43" s="7" t="n">
        <v>0.348</v>
      </c>
      <c r="M43" s="7" t="n"/>
    </row>
    <row r="44">
      <c r="A44" s="2" t="inlineStr">
        <is>
          <t>bx3o-WISVPk</t>
        </is>
      </c>
      <c r="B44" s="2" t="inlineStr">
        <is>
          <t>4.  ¿Para qué sirve el CUD?</t>
        </is>
      </c>
      <c r="C44" s="2" t="n">
        <v>17</v>
      </c>
      <c r="D44" s="2" t="inlineStr">
        <is>
          <t>Guía de Información 2018/2019 | Certificado Único de Discapacidad - CUD</t>
        </is>
      </c>
      <c r="E44" s="2" t="inlineStr">
        <is>
          <t>CUD</t>
        </is>
      </c>
      <c r="F44" s="10" t="inlineStr">
        <is>
          <t>DSC_0719 CUD tram4 si.MOV</t>
        </is>
      </c>
      <c r="G44" s="11" t="n">
        <v>24.12</v>
      </c>
      <c r="H44" s="10" t="inlineStr">
        <is>
          <t>CUD</t>
        </is>
      </c>
      <c r="I44" s="12" t="b">
        <v>0</v>
      </c>
      <c r="J44" s="11" t="n">
        <v>0.995</v>
      </c>
      <c r="K44" s="11" t="n">
        <v>0</v>
      </c>
      <c r="L44" s="11" t="n">
        <v>0.348</v>
      </c>
      <c r="M44" s="10" t="inlineStr">
        <is>
          <t>OK</t>
        </is>
      </c>
    </row>
    <row r="45">
      <c r="A45" s="7" t="inlineStr">
        <is>
          <t>EGxhVpFU1OI</t>
        </is>
      </c>
      <c r="B45" s="7" t="inlineStr">
        <is>
          <t>Circuito 7: Provincia de Buenos Aires / Bahía Blanca</t>
        </is>
      </c>
      <c r="C45" s="7" t="n">
        <v>59</v>
      </c>
      <c r="D45" s="7" t="inlineStr">
        <is>
          <t>Guía de Turismo 2018/2019</t>
        </is>
      </c>
      <c r="E45" s="7" t="inlineStr">
        <is>
          <t>Turismo</t>
        </is>
      </c>
      <c r="F45" s="7" t="inlineStr">
        <is>
          <t>DSC_1026 becas primera parte.MOV</t>
        </is>
      </c>
      <c r="G45" s="7" t="n">
        <v>59.36</v>
      </c>
      <c r="H45" s="7" t="inlineStr">
        <is>
          <t>unknown</t>
        </is>
      </c>
      <c r="I45" s="7" t="b">
        <v>1</v>
      </c>
      <c r="J45" s="7" t="n">
        <v>0.994</v>
      </c>
      <c r="K45" s="7" t="n">
        <v>0</v>
      </c>
      <c r="L45" s="7" t="n">
        <v>0.348</v>
      </c>
      <c r="M45" s="7" t="n"/>
    </row>
    <row r="46">
      <c r="A46" s="2" t="inlineStr">
        <is>
          <t>ApXvrj82TgY</t>
        </is>
      </c>
      <c r="B46" s="2" t="inlineStr">
        <is>
          <t>2. Becas de estudio y formación profesional</t>
        </is>
      </c>
      <c r="C46" s="2" t="n">
        <v>56</v>
      </c>
      <c r="D46" s="2" t="inlineStr">
        <is>
          <t>Guía de Información 2018/2019 | Trabajo</t>
        </is>
      </c>
      <c r="E46" s="2" t="inlineStr">
        <is>
          <t>Turismo</t>
        </is>
      </c>
      <c r="F46" s="2" t="inlineStr">
        <is>
          <t>DSC_1026 becas primera parte.MOV</t>
        </is>
      </c>
      <c r="G46" s="2" t="n">
        <v>59.36</v>
      </c>
      <c r="H46" s="2" t="inlineStr">
        <is>
          <t>unknown</t>
        </is>
      </c>
      <c r="I46" s="2" t="b">
        <v>1</v>
      </c>
      <c r="J46" s="2" t="n">
        <v>0.994</v>
      </c>
      <c r="K46" s="2" t="n">
        <v>0</v>
      </c>
      <c r="L46" s="2" t="n">
        <v>0.348</v>
      </c>
      <c r="M46" s="2" t="inlineStr">
        <is>
          <t>OK</t>
        </is>
      </c>
    </row>
    <row r="47">
      <c r="A47" s="7" t="inlineStr">
        <is>
          <t>Gi5dmimT9mg</t>
        </is>
      </c>
      <c r="B47" s="7" t="inlineStr">
        <is>
          <t>3. Peaje libre</t>
        </is>
      </c>
      <c r="C47" s="7" t="n">
        <v>31</v>
      </c>
      <c r="D47" s="7" t="inlineStr">
        <is>
          <t>Guía de Información 2018/2019 | Transporte</t>
        </is>
      </c>
      <c r="E47" s="7" t="inlineStr">
        <is>
          <t>Transporte</t>
        </is>
      </c>
      <c r="F47" s="7" t="inlineStr">
        <is>
          <t>DSC_0771.MOV</t>
        </is>
      </c>
      <c r="G47" s="7" t="n">
        <v>31.23</v>
      </c>
      <c r="H47" s="7" t="inlineStr">
        <is>
          <t>unknown</t>
        </is>
      </c>
      <c r="I47" s="7" t="b">
        <v>0</v>
      </c>
      <c r="J47" s="7" t="n">
        <v>0.993</v>
      </c>
      <c r="K47" s="7" t="n">
        <v>0</v>
      </c>
      <c r="L47" s="7" t="n">
        <v>0.348</v>
      </c>
      <c r="M47" s="7" t="n"/>
    </row>
    <row r="48">
      <c r="A48" s="7" t="inlineStr">
        <is>
          <t>71AmCt5zrr8</t>
        </is>
      </c>
      <c r="B48" s="7" t="inlineStr">
        <is>
          <t>4. ¿Cómo se tramita la pensión por discapacidad?</t>
        </is>
      </c>
      <c r="C48" s="7" t="n">
        <v>14</v>
      </c>
      <c r="D48" s="7" t="inlineStr">
        <is>
          <t>Guía de Información 2018/2019 | Sistema Previsional</t>
        </is>
      </c>
      <c r="E48" s="7" t="inlineStr">
        <is>
          <t>Prestaciones</t>
        </is>
      </c>
      <c r="F48" s="7" t="inlineStr">
        <is>
          <t>DSC_0701 Titulo Sistema Prev.MOV</t>
        </is>
      </c>
      <c r="G48" s="7" t="n">
        <v>14.11</v>
      </c>
      <c r="H48" s="7" t="inlineStr">
        <is>
          <t>unknown</t>
        </is>
      </c>
      <c r="I48" s="7" t="b">
        <v>0</v>
      </c>
      <c r="J48" s="7" t="n">
        <v>0.992</v>
      </c>
      <c r="K48" s="7" t="n">
        <v>0</v>
      </c>
      <c r="L48" s="7" t="n">
        <v>0.347</v>
      </c>
      <c r="M48" s="7" t="n"/>
    </row>
    <row r="49">
      <c r="A49" s="2" t="inlineStr">
        <is>
          <t>KrAliLan0Gs</t>
        </is>
      </c>
      <c r="B49" s="2" t="inlineStr">
        <is>
          <t>1. Sistema previsional</t>
        </is>
      </c>
      <c r="C49" s="2" t="n">
        <v>50</v>
      </c>
      <c r="D49" s="2" t="inlineStr">
        <is>
          <t>Guía de Información 2018/2019 | Sistema Previsional</t>
        </is>
      </c>
      <c r="E49" s="2" t="inlineStr">
        <is>
          <t>Prestaciones</t>
        </is>
      </c>
      <c r="F49" s="10" t="inlineStr">
        <is>
          <t>DSC_0701 Titulo Sistema Prev.MOV</t>
        </is>
      </c>
      <c r="G49" s="11" t="n">
        <v>14.11</v>
      </c>
      <c r="H49" s="10" t="inlineStr">
        <is>
          <t>unknown</t>
        </is>
      </c>
      <c r="I49" s="12" t="b">
        <v>0</v>
      </c>
      <c r="J49" s="11" t="n">
        <v>0.992</v>
      </c>
      <c r="K49" s="11" t="n">
        <v>0</v>
      </c>
      <c r="L49" s="11" t="n">
        <v>0.347</v>
      </c>
      <c r="M49" s="10" t="inlineStr">
        <is>
          <t>OK</t>
        </is>
      </c>
    </row>
    <row r="50">
      <c r="A50" s="7" t="inlineStr">
        <is>
          <t>KrAliLan0Gs</t>
        </is>
      </c>
      <c r="B50" s="7" t="inlineStr">
        <is>
          <t>1. Sistema previsional</t>
        </is>
      </c>
      <c r="C50" s="7" t="n">
        <v>50</v>
      </c>
      <c r="D50" s="7" t="inlineStr">
        <is>
          <t>Guía de Información 2018/2019 | Sistema Previsional</t>
        </is>
      </c>
      <c r="E50" s="7" t="inlineStr">
        <is>
          <t>Prestaciones</t>
        </is>
      </c>
      <c r="F50" s="7" t="inlineStr">
        <is>
          <t>DSC_0760 PNC quien si.MOV</t>
        </is>
      </c>
      <c r="G50" s="7" t="n">
        <v>50.45</v>
      </c>
      <c r="H50" s="7" t="inlineStr">
        <is>
          <t>Prestaciones</t>
        </is>
      </c>
      <c r="I50" s="7" t="b">
        <v>0</v>
      </c>
      <c r="J50" s="7" t="n">
        <v>0.991</v>
      </c>
      <c r="K50" s="7" t="n">
        <v>0</v>
      </c>
      <c r="L50" s="7" t="n">
        <v>0.447</v>
      </c>
      <c r="M50" s="7" t="n"/>
    </row>
    <row r="51">
      <c r="A51" s="7" t="inlineStr">
        <is>
          <t>u4R2ZtoexMU</t>
        </is>
      </c>
      <c r="B51" s="7" t="inlineStr">
        <is>
          <t>2.  Persona con discapacidad</t>
        </is>
      </c>
      <c r="C51" s="7" t="n">
        <v>35</v>
      </c>
      <c r="D51" s="7" t="inlineStr">
        <is>
          <t>Guía de Información 2018/2019 | Certificado Único de Discapacidad - CUD</t>
        </is>
      </c>
      <c r="E51" s="7" t="inlineStr">
        <is>
          <t>CUD</t>
        </is>
      </c>
      <c r="F51" s="7" t="inlineStr">
        <is>
          <t>DSC_0741 CUD tramite2 si.MOV</t>
        </is>
      </c>
      <c r="G51" s="7" t="n">
        <v>34.63</v>
      </c>
      <c r="H51" s="7" t="inlineStr">
        <is>
          <t>CUD</t>
        </is>
      </c>
      <c r="I51" s="7" t="b">
        <v>0</v>
      </c>
      <c r="J51" s="7" t="n">
        <v>0.989</v>
      </c>
      <c r="K51" s="7" t="n">
        <v>0</v>
      </c>
      <c r="L51" s="7" t="n">
        <v>0.446</v>
      </c>
      <c r="M51" s="7" t="n"/>
    </row>
    <row r="52">
      <c r="A52" s="10" t="inlineStr">
        <is>
          <t>u4R2ZtoexMU</t>
        </is>
      </c>
      <c r="B52" s="10" t="inlineStr">
        <is>
          <t>2.  Persona con discapacidad</t>
        </is>
      </c>
      <c r="C52" s="11" t="n">
        <v>35</v>
      </c>
      <c r="D52" s="10" t="inlineStr">
        <is>
          <t>Guía de Información 2018/2019 | Certificado Único de Discapacidad - CUD</t>
        </is>
      </c>
      <c r="E52" s="10" t="inlineStr">
        <is>
          <t>CUD</t>
        </is>
      </c>
      <c r="F52" s="10" t="inlineStr">
        <is>
          <t>DSC_0715 PCD5 si</t>
        </is>
      </c>
      <c r="G52" s="11" t="n"/>
      <c r="H52" s="10" t="n"/>
      <c r="I52" s="12" t="n"/>
      <c r="J52" s="11" t="n"/>
      <c r="K52" s="11" t="n"/>
      <c r="L52" s="11" t="n"/>
      <c r="M52" s="10" t="inlineStr">
        <is>
          <t>OK</t>
        </is>
      </c>
    </row>
    <row r="53">
      <c r="A53" s="7" t="inlineStr">
        <is>
          <t>i1YJ2VoH6_k</t>
        </is>
      </c>
      <c r="B53" s="7" t="inlineStr">
        <is>
          <t>5. Certificado Médico Oficial - CMO</t>
        </is>
      </c>
      <c r="C53" s="7" t="n">
        <v>34</v>
      </c>
      <c r="D53" s="7" t="inlineStr">
        <is>
          <t>Guía de Información 2018/2019 | Sistema Previsional</t>
        </is>
      </c>
      <c r="E53" s="7" t="inlineStr">
        <is>
          <t>Prestaciones</t>
        </is>
      </c>
      <c r="F53" s="7" t="inlineStr">
        <is>
          <t>DSC_0785 Retiro si.MOV</t>
        </is>
      </c>
      <c r="G53" s="7" t="n">
        <v>34.53</v>
      </c>
      <c r="H53" s="7" t="inlineStr">
        <is>
          <t>Prestaciones</t>
        </is>
      </c>
      <c r="I53" s="7" t="b">
        <v>0</v>
      </c>
      <c r="J53" s="7" t="n">
        <v>0.985</v>
      </c>
      <c r="K53" s="7" t="n">
        <v>0</v>
      </c>
      <c r="L53" s="7" t="n">
        <v>0.445</v>
      </c>
      <c r="M53" s="7" t="n"/>
    </row>
    <row r="54">
      <c r="A54" s="2" t="inlineStr">
        <is>
          <t>hHqyvAOZpwk</t>
        </is>
      </c>
      <c r="B54" s="2" t="inlineStr">
        <is>
          <t>11. Retiro por invalidez</t>
        </is>
      </c>
      <c r="C54" s="2" t="n">
        <v>33</v>
      </c>
      <c r="D54" s="2" t="inlineStr">
        <is>
          <t>Guía de Información 2018/2019 | Sistema Previsional</t>
        </is>
      </c>
      <c r="E54" s="2" t="inlineStr">
        <is>
          <t>Prestaciones</t>
        </is>
      </c>
      <c r="F54" s="2" t="inlineStr">
        <is>
          <t>DSC_0785 Retiro si.MOV</t>
        </is>
      </c>
      <c r="G54" s="2" t="n">
        <v>34.53</v>
      </c>
      <c r="H54" s="2" t="inlineStr">
        <is>
          <t>Prestaciones</t>
        </is>
      </c>
      <c r="I54" s="2" t="b">
        <v>0</v>
      </c>
      <c r="J54" s="2" t="n">
        <v>0.985</v>
      </c>
      <c r="K54" s="2" t="n">
        <v>0</v>
      </c>
      <c r="L54" s="2" t="n">
        <v>0.445</v>
      </c>
      <c r="M54" s="2" t="inlineStr">
        <is>
          <t>OK</t>
        </is>
      </c>
    </row>
    <row r="55">
      <c r="A55" s="7" t="inlineStr">
        <is>
          <t>7az9Z92XonA</t>
        </is>
      </c>
      <c r="B55" s="7" t="inlineStr">
        <is>
          <t>Circuito 6: Provincia de Buenos Aires - La Plata</t>
        </is>
      </c>
      <c r="C55" s="7" t="n">
        <v>66</v>
      </c>
      <c r="D55" s="7" t="inlineStr">
        <is>
          <t>Guía de Turismo 2018/2019</t>
        </is>
      </c>
      <c r="E55" s="7" t="inlineStr">
        <is>
          <t>Turismo</t>
        </is>
      </c>
      <c r="F55" s="7" t="inlineStr">
        <is>
          <t>DSC_0871 p.86 registro docentes apoyo.MOV</t>
        </is>
      </c>
      <c r="G55" s="7" t="n">
        <v>67.67</v>
      </c>
      <c r="H55" s="7" t="inlineStr">
        <is>
          <t>Educacion</t>
        </is>
      </c>
      <c r="I55" s="7" t="b">
        <v>1</v>
      </c>
      <c r="J55" s="7" t="n">
        <v>0.975</v>
      </c>
      <c r="K55" s="7" t="n">
        <v>0</v>
      </c>
      <c r="L55" s="7" t="n">
        <v>0.341</v>
      </c>
      <c r="M55" s="7" t="n"/>
    </row>
    <row r="56">
      <c r="A56" s="2" t="inlineStr">
        <is>
          <t>Psy8y4VfJ2s</t>
        </is>
      </c>
      <c r="B56" s="2" t="inlineStr">
        <is>
          <t>3. Registro Acompañantes No Docentes APND</t>
        </is>
      </c>
      <c r="C56" s="2" t="n">
        <v>57</v>
      </c>
      <c r="D56" s="2" t="inlineStr">
        <is>
          <t>Guía de Información 2018/2019 | Educación</t>
        </is>
      </c>
      <c r="E56" s="2" t="inlineStr">
        <is>
          <t>Educacion</t>
        </is>
      </c>
      <c r="F56" s="10" t="inlineStr">
        <is>
          <t>DSC_0871 p.86 registro docentes apoyo.MOV</t>
        </is>
      </c>
      <c r="G56" s="11" t="n">
        <v>67.67</v>
      </c>
      <c r="H56" s="10" t="inlineStr">
        <is>
          <t>Educacion</t>
        </is>
      </c>
      <c r="I56" s="12" t="b">
        <v>1</v>
      </c>
      <c r="J56" s="11" t="n">
        <v>0.975</v>
      </c>
      <c r="K56" s="11" t="n">
        <v>0</v>
      </c>
      <c r="L56" s="11" t="n">
        <v>0.341</v>
      </c>
      <c r="M56" s="10" t="inlineStr">
        <is>
          <t>OK</t>
        </is>
      </c>
    </row>
    <row r="57">
      <c r="A57" s="7" t="inlineStr">
        <is>
          <t>BbiF_2145Es</t>
        </is>
      </c>
      <c r="B57" s="7" t="inlineStr">
        <is>
          <t>2.  Pensión no contributiva por discapacidad - PNC</t>
        </is>
      </c>
      <c r="C57" s="7" t="n">
        <v>22</v>
      </c>
      <c r="D57" s="7" t="inlineStr">
        <is>
          <t>Guía de Información 2018/2019 | Sistema Previsional</t>
        </is>
      </c>
      <c r="E57" s="7" t="inlineStr">
        <is>
          <t>Prestaciones</t>
        </is>
      </c>
      <c r="F57" s="7" t="inlineStr">
        <is>
          <t>DSC_0780 Jubil disc edad si.MOV</t>
        </is>
      </c>
      <c r="G57" s="7" t="n">
        <v>22.62</v>
      </c>
      <c r="H57" s="7" t="inlineStr">
        <is>
          <t>Prestaciones</t>
        </is>
      </c>
      <c r="I57" s="7" t="b">
        <v>0</v>
      </c>
      <c r="J57" s="7" t="n">
        <v>0.973</v>
      </c>
      <c r="K57" s="7" t="n">
        <v>0</v>
      </c>
      <c r="L57" s="7" t="n">
        <v>0.441</v>
      </c>
      <c r="M57" s="7" t="n"/>
    </row>
    <row r="58">
      <c r="A58" s="2" t="inlineStr">
        <is>
          <t>DpT8rj_OyXI</t>
        </is>
      </c>
      <c r="B58" s="2" t="inlineStr">
        <is>
          <t>10. Edad jubilación por discapacidad</t>
        </is>
      </c>
      <c r="C58" s="2" t="n">
        <v>21</v>
      </c>
      <c r="D58" s="2" t="inlineStr">
        <is>
          <t>Guía de Información 2018/2019 | Sistema Previsional</t>
        </is>
      </c>
      <c r="E58" s="2" t="inlineStr">
        <is>
          <t>Prestaciones</t>
        </is>
      </c>
      <c r="F58" s="2" t="inlineStr">
        <is>
          <t>DSC_0780 Jubil disc edad si.MOV</t>
        </is>
      </c>
      <c r="G58" s="2" t="n">
        <v>22.62</v>
      </c>
      <c r="H58" s="2" t="inlineStr">
        <is>
          <t>Prestaciones</t>
        </is>
      </c>
      <c r="I58" s="2" t="b">
        <v>0</v>
      </c>
      <c r="J58" s="2" t="n">
        <v>0.973</v>
      </c>
      <c r="K58" s="2" t="n">
        <v>0</v>
      </c>
      <c r="L58" s="2" t="n">
        <v>0.441</v>
      </c>
      <c r="M58" s="2" t="inlineStr">
        <is>
          <t>OK</t>
        </is>
      </c>
    </row>
    <row r="59">
      <c r="A59" s="10" t="inlineStr">
        <is>
          <t>BbiF_2145Es</t>
        </is>
      </c>
      <c r="B59" s="10" t="inlineStr">
        <is>
          <t>2.  Pensión no contributiva por discapacidad - PNC</t>
        </is>
      </c>
      <c r="C59" s="11" t="n">
        <v>22</v>
      </c>
      <c r="D59" s="10" t="inlineStr">
        <is>
          <t>Guía de Información 2018/2019 | Sistema Previsional</t>
        </is>
      </c>
      <c r="E59" s="10" t="inlineStr">
        <is>
          <t>Prestaciones</t>
        </is>
      </c>
      <c r="F59" s="2" t="inlineStr">
        <is>
          <t>DSC_0749 PNC2.MOV</t>
        </is>
      </c>
      <c r="G59" s="2" t="n">
        <v>24.12</v>
      </c>
      <c r="H59" s="2" t="inlineStr">
        <is>
          <t>Prestaciones</t>
        </is>
      </c>
      <c r="I59" s="2" t="b">
        <v>0</v>
      </c>
      <c r="J59" s="2" t="n">
        <v>0.965</v>
      </c>
      <c r="K59" s="2" t="n">
        <v>0</v>
      </c>
      <c r="L59" s="2" t="n">
        <v>0.438</v>
      </c>
      <c r="M59" s="2" t="inlineStr">
        <is>
          <t>OK</t>
        </is>
      </c>
    </row>
    <row r="60">
      <c r="A60" s="2" t="inlineStr">
        <is>
          <t>fuHTMk6rTkU</t>
        </is>
      </c>
      <c r="B60" s="2" t="inlineStr">
        <is>
          <t>7.  ¿Cómo tramitar tu CUD?</t>
        </is>
      </c>
      <c r="C60" s="2" t="n">
        <v>90</v>
      </c>
      <c r="D60" s="2" t="inlineStr">
        <is>
          <t>Guía de Información 2018/2019 | Certificado Único de Discapacidad - CUD</t>
        </is>
      </c>
      <c r="E60" s="2" t="inlineStr">
        <is>
          <t>CUD</t>
        </is>
      </c>
      <c r="F60" s="2" t="inlineStr">
        <is>
          <t>DSC_0740 CUD tramite1si.MOV</t>
        </is>
      </c>
      <c r="G60" s="2" t="n">
        <v>93.09</v>
      </c>
      <c r="H60" s="2" t="inlineStr">
        <is>
          <t>CUD</t>
        </is>
      </c>
      <c r="I60" s="2" t="b">
        <v>0</v>
      </c>
      <c r="J60" s="2" t="n">
        <v>0.967</v>
      </c>
      <c r="K60" s="2" t="n">
        <v>0</v>
      </c>
      <c r="L60" s="2" t="n">
        <v>0.438</v>
      </c>
      <c r="M60" s="2" t="inlineStr">
        <is>
          <t>OK</t>
        </is>
      </c>
    </row>
    <row r="61">
      <c r="A61" s="2" t="inlineStr">
        <is>
          <t>V0hm94uW_to</t>
        </is>
      </c>
      <c r="B61" s="2" t="inlineStr">
        <is>
          <t>9. Jubilación por discapacidad</t>
        </is>
      </c>
      <c r="C61" s="2" t="n">
        <v>25</v>
      </c>
      <c r="D61" s="2" t="inlineStr">
        <is>
          <t>Guía de Información 2018/2019 | Sistema Previsional</t>
        </is>
      </c>
      <c r="E61" s="2" t="inlineStr">
        <is>
          <t>Prestaciones</t>
        </is>
      </c>
      <c r="F61" s="2" t="inlineStr">
        <is>
          <t>DSC_0775 Jubil disc si.MOV</t>
        </is>
      </c>
      <c r="G61" s="2" t="n">
        <v>26.03</v>
      </c>
      <c r="H61" s="2" t="inlineStr">
        <is>
          <t>Prestaciones</t>
        </is>
      </c>
      <c r="I61" s="2" t="b">
        <v>0</v>
      </c>
      <c r="J61" s="2" t="n">
        <v>0.93</v>
      </c>
      <c r="K61" s="2" t="n">
        <v>0</v>
      </c>
      <c r="L61" s="2" t="n">
        <v>0.425</v>
      </c>
      <c r="M61" s="2" t="inlineStr">
        <is>
          <t>OK</t>
        </is>
      </c>
    </row>
    <row r="62">
      <c r="A62" s="7" t="inlineStr">
        <is>
          <t>Mu_txXs9ihg</t>
        </is>
      </c>
      <c r="B62" s="7" t="inlineStr">
        <is>
          <t>4.  Reclamar prestaciones básicas de salud</t>
        </is>
      </c>
      <c r="C62" s="7" t="n">
        <v>63</v>
      </c>
      <c r="D62" s="7" t="inlineStr">
        <is>
          <t>Guía de Información 2018/2019 | Salud</t>
        </is>
      </c>
      <c r="E62" s="7" t="inlineStr">
        <is>
          <t>Salud</t>
        </is>
      </c>
      <c r="F62" s="7" t="inlineStr">
        <is>
          <t>DSC_0746 CUD pierde si.MOV</t>
        </is>
      </c>
      <c r="G62" s="7" t="n">
        <v>60.76</v>
      </c>
      <c r="H62" s="7" t="inlineStr">
        <is>
          <t>CUD</t>
        </is>
      </c>
      <c r="I62" s="7" t="b">
        <v>0</v>
      </c>
      <c r="J62" s="7" t="n">
        <v>0.964</v>
      </c>
      <c r="K62" s="7" t="n">
        <v>0</v>
      </c>
      <c r="L62" s="7" t="n">
        <v>0.337</v>
      </c>
      <c r="M62" s="7" t="n"/>
    </row>
    <row r="63">
      <c r="A63" s="2" t="inlineStr">
        <is>
          <t>6lWq6bCXwTY</t>
        </is>
      </c>
      <c r="B63" s="2" t="inlineStr">
        <is>
          <t>8. ¿Que podes hacer si perdiste o te robaron el CUD?</t>
        </is>
      </c>
      <c r="C63" s="2" t="n">
        <v>58</v>
      </c>
      <c r="D63" s="2" t="inlineStr">
        <is>
          <t>Guía de Información 2018/2019 | Certificado Único de Discapacidad - CUD</t>
        </is>
      </c>
      <c r="E63" s="2" t="inlineStr">
        <is>
          <t>CUD</t>
        </is>
      </c>
      <c r="F63" s="10" t="inlineStr">
        <is>
          <t>DSC_0746 CUD pierde si.MOV</t>
        </is>
      </c>
      <c r="G63" s="11" t="n">
        <v>60.76</v>
      </c>
      <c r="H63" s="10" t="inlineStr">
        <is>
          <t>CUD</t>
        </is>
      </c>
      <c r="I63" s="12" t="b">
        <v>0</v>
      </c>
      <c r="J63" s="11" t="n">
        <v>0.964</v>
      </c>
      <c r="K63" s="11" t="n">
        <v>0</v>
      </c>
      <c r="L63" s="11" t="n">
        <v>0.337</v>
      </c>
      <c r="M63" s="10" t="inlineStr">
        <is>
          <t>OK</t>
        </is>
      </c>
    </row>
    <row r="64">
      <c r="A64" s="7" t="inlineStr">
        <is>
          <t>WnBynb92GWE</t>
        </is>
      </c>
      <c r="B64" s="7" t="inlineStr">
        <is>
          <t>3. ¿Dónde pedís tu CUD?</t>
        </is>
      </c>
      <c r="C64" s="7" t="n">
        <v>49</v>
      </c>
      <c r="D64" s="7" t="inlineStr">
        <is>
          <t>Guía de Información 2018/2019 | Certificado Único de Discapacidad - CUD</t>
        </is>
      </c>
      <c r="E64" s="7" t="inlineStr">
        <is>
          <t>CUD</t>
        </is>
      </c>
      <c r="F64" s="7" t="inlineStr">
        <is>
          <t>DSC_0747 Sist Prev si.MOV</t>
        </is>
      </c>
      <c r="G64" s="7" t="n">
        <v>51.45</v>
      </c>
      <c r="H64" s="7" t="inlineStr">
        <is>
          <t>Prestaciones</t>
        </is>
      </c>
      <c r="I64" s="7" t="b">
        <v>0</v>
      </c>
      <c r="J64" s="7" t="n">
        <v>0.952</v>
      </c>
      <c r="K64" s="7" t="n">
        <v>0</v>
      </c>
      <c r="L64" s="7" t="n">
        <v>0.333</v>
      </c>
      <c r="M64" s="7" t="n"/>
    </row>
    <row r="65">
      <c r="A65" s="7" t="inlineStr">
        <is>
          <t>hHqyvAOZpwk</t>
        </is>
      </c>
      <c r="B65" s="7" t="inlineStr">
        <is>
          <t>11. Retiro por invalidez</t>
        </is>
      </c>
      <c r="C65" s="7" t="n">
        <v>33</v>
      </c>
      <c r="D65" s="7" t="inlineStr">
        <is>
          <t>Guía de Información 2018/2019 | Sistema Previsional</t>
        </is>
      </c>
      <c r="E65" s="7" t="inlineStr">
        <is>
          <t>Prestaciones</t>
        </is>
      </c>
      <c r="F65" s="7" t="inlineStr">
        <is>
          <t>DSC_0771 AHHD si.MOV</t>
        </is>
      </c>
      <c r="G65" s="7" t="n">
        <v>31.23</v>
      </c>
      <c r="H65" s="7" t="inlineStr">
        <is>
          <t>Prestaciones</t>
        </is>
      </c>
      <c r="I65" s="7" t="b">
        <v>0</v>
      </c>
      <c r="J65" s="7" t="n">
        <v>0.946</v>
      </c>
      <c r="K65" s="7" t="n">
        <v>0</v>
      </c>
      <c r="L65" s="7" t="n">
        <v>0.431</v>
      </c>
      <c r="M65" s="7" t="n"/>
    </row>
    <row r="66">
      <c r="A66" s="2" t="inlineStr">
        <is>
          <t>rX2VatRZzBE</t>
        </is>
      </c>
      <c r="B66" s="2" t="inlineStr">
        <is>
          <t>7. ¿Cuándo podes cobrar la asignación por hijo con discapacidad?</t>
        </is>
      </c>
      <c r="C66" s="2" t="n">
        <v>28</v>
      </c>
      <c r="D66" s="2" t="inlineStr">
        <is>
          <t>Guía de Información 2018/2019 | Sistema Previsional</t>
        </is>
      </c>
      <c r="E66" s="2" t="inlineStr">
        <is>
          <t>Prestaciones</t>
        </is>
      </c>
      <c r="F66" s="10" t="inlineStr">
        <is>
          <t>DSC_0771 AHHD si.MOV</t>
        </is>
      </c>
      <c r="G66" s="11" t="n">
        <v>31.23</v>
      </c>
      <c r="H66" s="10" t="inlineStr">
        <is>
          <t>Prestaciones</t>
        </is>
      </c>
      <c r="I66" s="12" t="b">
        <v>0</v>
      </c>
      <c r="J66" s="11" t="n">
        <v>0.946</v>
      </c>
      <c r="K66" s="11" t="n">
        <v>0</v>
      </c>
      <c r="L66" s="11" t="n">
        <v>0.431</v>
      </c>
      <c r="M66" s="10" t="inlineStr">
        <is>
          <t>OK</t>
        </is>
      </c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>
      <c r="A67" s="7" t="inlineStr">
        <is>
          <t>ApXvrj82TgY</t>
        </is>
      </c>
      <c r="B67" s="7" t="inlineStr">
        <is>
          <t>2. Becas de estudio y formación profesional</t>
        </is>
      </c>
      <c r="C67" s="7" t="n">
        <v>56</v>
      </c>
      <c r="D67" s="7" t="inlineStr">
        <is>
          <t>Guía de Información 2018/2019 | Trabajo</t>
        </is>
      </c>
      <c r="E67" s="7" t="inlineStr">
        <is>
          <t>Trabajo</t>
        </is>
      </c>
      <c r="F67" s="7" t="inlineStr">
        <is>
          <t>DSC_0718 CUD tram3 no c.MOV</t>
        </is>
      </c>
      <c r="G67" s="7" t="n">
        <v>52.75</v>
      </c>
      <c r="H67" s="7" t="inlineStr">
        <is>
          <t>CUD</t>
        </is>
      </c>
      <c r="I67" s="7" t="b">
        <v>0</v>
      </c>
      <c r="J67" s="7" t="n">
        <v>0.9419999999999999</v>
      </c>
      <c r="K67" s="7" t="n">
        <v>0</v>
      </c>
      <c r="L67" s="7" t="n">
        <v>0.33</v>
      </c>
      <c r="M67" s="7" t="n"/>
    </row>
    <row r="68">
      <c r="A68" s="2" t="inlineStr">
        <is>
          <t>WnBynb92GWE</t>
        </is>
      </c>
      <c r="B68" s="2" t="inlineStr">
        <is>
          <t>3. ¿Dónde pedís tu CUD?</t>
        </is>
      </c>
      <c r="C68" s="2" t="n">
        <v>49</v>
      </c>
      <c r="D68" s="2" t="inlineStr">
        <is>
          <t>Guía de Información 2018/2019 | Certificado Único de Discapacidad - CUD</t>
        </is>
      </c>
      <c r="E68" s="2" t="inlineStr">
        <is>
          <t>CUD</t>
        </is>
      </c>
      <c r="F68" s="2" t="inlineStr">
        <is>
          <t>DSC_0718 CUD tram3 no c.MOV</t>
        </is>
      </c>
      <c r="G68" s="2" t="n">
        <v>52.75</v>
      </c>
      <c r="H68" s="2" t="inlineStr">
        <is>
          <t>CUD</t>
        </is>
      </c>
      <c r="I68" s="2" t="b">
        <v>0</v>
      </c>
      <c r="J68" s="2" t="n">
        <v>0.9419999999999999</v>
      </c>
      <c r="K68" s="2" t="n">
        <v>0</v>
      </c>
      <c r="L68" s="2" t="n">
        <v>0.33</v>
      </c>
      <c r="M68" s="2" t="inlineStr">
        <is>
          <t>OK</t>
        </is>
      </c>
    </row>
    <row r="69">
      <c r="A69" s="7" t="inlineStr">
        <is>
          <t>rX2VatRZzBE</t>
        </is>
      </c>
      <c r="B69" s="7" t="inlineStr">
        <is>
          <t>7. ¿Cuándo podes cobrar la asignación por hijo con discapacidad?</t>
        </is>
      </c>
      <c r="C69" s="7" t="n">
        <v>28</v>
      </c>
      <c r="D69" s="7" t="inlineStr">
        <is>
          <t>Guía de Información 2018/2019 | Sistema Previsional</t>
        </is>
      </c>
      <c r="E69" s="7" t="inlineStr">
        <is>
          <t>Prestaciones</t>
        </is>
      </c>
      <c r="F69" s="7" t="inlineStr">
        <is>
          <t>DSC_0775 Jubil disc si.MOV</t>
        </is>
      </c>
      <c r="G69" s="7" t="n">
        <v>26.03</v>
      </c>
      <c r="H69" s="7" t="inlineStr">
        <is>
          <t>Prestaciones</t>
        </is>
      </c>
      <c r="I69" s="7" t="b">
        <v>0</v>
      </c>
      <c r="J69" s="7" t="n">
        <v>0.93</v>
      </c>
      <c r="K69" s="7" t="n">
        <v>0</v>
      </c>
      <c r="L69" s="7" t="n">
        <v>0.425</v>
      </c>
      <c r="M69" s="7" t="n"/>
    </row>
    <row r="70">
      <c r="A70" s="7" t="inlineStr">
        <is>
          <t>vP2AvPqVYa8</t>
        </is>
      </c>
      <c r="B70" s="7" t="inlineStr">
        <is>
          <t>2. ¿Qué es una exención fiscal?</t>
        </is>
      </c>
      <c r="C70" s="7" t="n">
        <v>21</v>
      </c>
      <c r="D70" s="7" t="inlineStr">
        <is>
          <t>Guía de Información 2018/2019 | Beneficios Fiscales</t>
        </is>
      </c>
      <c r="E70" s="7" t="inlineStr">
        <is>
          <t>BeneficiosFiscales</t>
        </is>
      </c>
      <c r="F70" s="7" t="inlineStr">
        <is>
          <t>DSC_0735 BF3 si.MOV</t>
        </is>
      </c>
      <c r="G70" s="7" t="n">
        <v>22.92</v>
      </c>
      <c r="H70" s="7" t="inlineStr">
        <is>
          <t>BeneficiosFiscales</t>
        </is>
      </c>
      <c r="I70" s="7" t="b">
        <v>0</v>
      </c>
      <c r="J70" s="7" t="n">
        <v>0.916</v>
      </c>
      <c r="K70" s="7" t="n">
        <v>0</v>
      </c>
      <c r="L70" s="7" t="n">
        <v>0.421</v>
      </c>
      <c r="M70" s="7" t="n"/>
    </row>
    <row r="71">
      <c r="A71" s="7" t="inlineStr">
        <is>
          <t>MkSTIErbEbk</t>
        </is>
      </c>
      <c r="B71" s="7" t="inlineStr">
        <is>
          <t>3. ¿Cuándo podes cobrar la pensión por discapacidad?</t>
        </is>
      </c>
      <c r="C71" s="7" t="n">
        <v>39</v>
      </c>
      <c r="D71" s="7" t="inlineStr">
        <is>
          <t>Guía de Información 2018/2019 | Sistema Previsional</t>
        </is>
      </c>
      <c r="E71" s="7" t="inlineStr">
        <is>
          <t>Prestaciones</t>
        </is>
      </c>
      <c r="F71" s="7" t="inlineStr">
        <is>
          <t>DSC_0765 CMO si.MOV</t>
        </is>
      </c>
      <c r="G71" s="7" t="n">
        <v>35.34</v>
      </c>
      <c r="H71" s="7" t="inlineStr">
        <is>
          <t>Prestaciones</t>
        </is>
      </c>
      <c r="I71" s="7" t="b">
        <v>0</v>
      </c>
      <c r="J71" s="7" t="n">
        <v>0.906</v>
      </c>
      <c r="K71" s="7" t="n">
        <v>0</v>
      </c>
      <c r="L71" s="7" t="n">
        <v>0.417</v>
      </c>
      <c r="M71" s="7" t="n"/>
    </row>
    <row r="72">
      <c r="A72" s="2" t="inlineStr">
        <is>
          <t>i1YJ2VoH6_k</t>
        </is>
      </c>
      <c r="B72" s="2" t="inlineStr">
        <is>
          <t>5. Certificado Médico Oficial - CMO</t>
        </is>
      </c>
      <c r="C72" s="2" t="n">
        <v>34</v>
      </c>
      <c r="D72" s="2" t="inlineStr">
        <is>
          <t>Guía de Información 2018/2019 | Sistema Previsional</t>
        </is>
      </c>
      <c r="E72" s="2" t="inlineStr">
        <is>
          <t>Prestaciones</t>
        </is>
      </c>
      <c r="F72" s="10" t="inlineStr">
        <is>
          <t>DSC_0765 CMO si.MOV</t>
        </is>
      </c>
      <c r="G72" s="11" t="n">
        <v>35.34</v>
      </c>
      <c r="H72" s="10" t="inlineStr">
        <is>
          <t>Prestaciones</t>
        </is>
      </c>
      <c r="I72" s="12" t="b">
        <v>0</v>
      </c>
      <c r="J72" s="11" t="n">
        <v>0.906</v>
      </c>
      <c r="K72" s="11" t="n">
        <v>0</v>
      </c>
      <c r="L72" s="11" t="n">
        <v>0.417</v>
      </c>
      <c r="M72" s="10" t="inlineStr">
        <is>
          <t>OK</t>
        </is>
      </c>
    </row>
    <row r="73">
      <c r="A73" s="7" t="inlineStr">
        <is>
          <t>gSe9tkhgOT0</t>
        </is>
      </c>
      <c r="B73" s="7" t="inlineStr">
        <is>
          <t>7. Franquicias</t>
        </is>
      </c>
      <c r="C73" s="7" t="n">
        <v>37</v>
      </c>
      <c r="D73" s="7" t="inlineStr">
        <is>
          <t>Guía de Información 2018/2019 | Transporte</t>
        </is>
      </c>
      <c r="E73" s="7" t="inlineStr">
        <is>
          <t>Transporte</t>
        </is>
      </c>
      <c r="F73" s="7" t="inlineStr">
        <is>
          <t>DSC_0809 Peaje libre si.MOV</t>
        </is>
      </c>
      <c r="G73" s="7" t="n">
        <v>33.53</v>
      </c>
      <c r="H73" s="7" t="inlineStr">
        <is>
          <t>Transporte</t>
        </is>
      </c>
      <c r="I73" s="7" t="b">
        <v>1</v>
      </c>
      <c r="J73" s="7" t="n">
        <v>0.906</v>
      </c>
      <c r="K73" s="7" t="n">
        <v>0</v>
      </c>
      <c r="L73" s="7" t="n">
        <v>0.417</v>
      </c>
      <c r="M73" s="7" t="n"/>
    </row>
    <row r="74">
      <c r="A74" s="2" t="inlineStr">
        <is>
          <t>Gi5dmimT9mg</t>
        </is>
      </c>
      <c r="B74" s="2" t="inlineStr">
        <is>
          <t>3. Peaje libre</t>
        </is>
      </c>
      <c r="C74" s="2" t="n">
        <v>31</v>
      </c>
      <c r="D74" s="2" t="inlineStr">
        <is>
          <t>Guía de Información 2018/2019 | Transporte</t>
        </is>
      </c>
      <c r="E74" s="2" t="inlineStr">
        <is>
          <t>Transporte</t>
        </is>
      </c>
      <c r="F74" s="10" t="inlineStr">
        <is>
          <t>DSC_0809 Peaje libre si.MOV</t>
        </is>
      </c>
      <c r="G74" s="11" t="n">
        <v>33.53</v>
      </c>
      <c r="H74" s="10" t="inlineStr">
        <is>
          <t>Transporte</t>
        </is>
      </c>
      <c r="I74" s="12" t="b">
        <v>1</v>
      </c>
      <c r="J74" s="11" t="n">
        <v>0.906</v>
      </c>
      <c r="K74" s="11" t="n">
        <v>0</v>
      </c>
      <c r="L74" s="11" t="n">
        <v>0.417</v>
      </c>
      <c r="M74" s="10" t="inlineStr">
        <is>
          <t>OK</t>
        </is>
      </c>
    </row>
    <row r="75">
      <c r="A75" s="2" t="inlineStr">
        <is>
          <t>3gyP_SIz3T0</t>
        </is>
      </c>
      <c r="B75" s="2" t="inlineStr">
        <is>
          <t>1. Beneficios transporte</t>
        </is>
      </c>
      <c r="C75" s="2" t="n">
        <v>39</v>
      </c>
      <c r="D75" s="2" t="inlineStr">
        <is>
          <t>Guía de Información 2018/2019 | Transporte</t>
        </is>
      </c>
      <c r="E75" s="2" t="inlineStr">
        <is>
          <t>Transporte</t>
        </is>
      </c>
      <c r="F75" s="2" t="inlineStr">
        <is>
          <t>DSC_0730 transp4 ver.MOV</t>
        </is>
      </c>
      <c r="G75" s="2" t="n">
        <v>43.24</v>
      </c>
      <c r="H75" s="2" t="inlineStr">
        <is>
          <t>Transporte</t>
        </is>
      </c>
      <c r="I75" s="2" t="b">
        <v>0</v>
      </c>
      <c r="J75" s="2" t="n">
        <v>0.902</v>
      </c>
      <c r="K75" s="2" t="n">
        <v>0</v>
      </c>
      <c r="L75" s="2" t="n">
        <v>0.416</v>
      </c>
      <c r="M75" s="2" t="inlineStr">
        <is>
          <t>OK</t>
        </is>
      </c>
    </row>
    <row r="76">
      <c r="A76" s="2" t="inlineStr">
        <is>
          <t>ihpijvrFcbY</t>
        </is>
      </c>
      <c r="B76" s="2" t="inlineStr">
        <is>
          <t>5. Centros educativos de atención y prevención de primera infancia - CEPAPI ↓</t>
        </is>
      </c>
      <c r="C76" s="2" t="n">
        <v>37</v>
      </c>
      <c r="D76" s="2" t="inlineStr">
        <is>
          <t>Guía de Información 2018/2019 | Educación</t>
        </is>
      </c>
      <c r="E76" s="2" t="inlineStr">
        <is>
          <t>Educacion</t>
        </is>
      </c>
      <c r="F76" s="2" t="inlineStr">
        <is>
          <t>DSC_0875 p.92 cepapi _ rehacer.MOV</t>
        </is>
      </c>
      <c r="G76" s="2" t="n">
        <v>41.34</v>
      </c>
      <c r="H76" s="2" t="inlineStr">
        <is>
          <t>Educacion</t>
        </is>
      </c>
      <c r="I76" s="2" t="b">
        <v>0</v>
      </c>
      <c r="J76" s="2" t="n">
        <v>0.895</v>
      </c>
      <c r="K76" s="2" t="n">
        <v>0</v>
      </c>
      <c r="L76" s="2" t="n">
        <v>0.413</v>
      </c>
      <c r="M76" s="2" t="inlineStr">
        <is>
          <t>OK</t>
        </is>
      </c>
    </row>
    <row r="77">
      <c r="A77" s="7" t="inlineStr">
        <is>
          <t>DpT8rj_OyXI</t>
        </is>
      </c>
      <c r="B77" s="7" t="inlineStr">
        <is>
          <t>10. Edad jubilación por discapacidad</t>
        </is>
      </c>
      <c r="C77" s="7" t="n">
        <v>21</v>
      </c>
      <c r="D77" s="7" t="inlineStr">
        <is>
          <t>Guía de Información 2018/2019 | Sistema Previsional</t>
        </is>
      </c>
      <c r="E77" s="7" t="inlineStr">
        <is>
          <t>Prestaciones</t>
        </is>
      </c>
      <c r="F77" s="7" t="inlineStr">
        <is>
          <t>DSC_0761 PNC dnd si.MOV</t>
        </is>
      </c>
      <c r="G77" s="7" t="n">
        <v>23.72</v>
      </c>
      <c r="H77" s="7" t="inlineStr">
        <is>
          <t>Prestaciones</t>
        </is>
      </c>
      <c r="I77" s="7" t="b">
        <v>0</v>
      </c>
      <c r="J77" s="7" t="n">
        <v>0.885</v>
      </c>
      <c r="K77" s="7" t="n">
        <v>0</v>
      </c>
      <c r="L77" s="7" t="n">
        <v>0.41</v>
      </c>
      <c r="M77" s="7" t="n"/>
    </row>
    <row r="78">
      <c r="A78" s="10" t="inlineStr">
        <is>
          <t>DpT8rj_OyXI</t>
        </is>
      </c>
      <c r="B78" s="2" t="inlineStr">
        <is>
          <t>4. ¿Cómo se tramita la pensión por discapacidad?</t>
        </is>
      </c>
      <c r="C78" s="2" t="n">
        <v>14</v>
      </c>
      <c r="D78" s="2" t="inlineStr">
        <is>
          <t>Guía de Información 2018/2019 | Sistema Previsional</t>
        </is>
      </c>
      <c r="E78" s="2" t="inlineStr">
        <is>
          <t>Prestaciones</t>
        </is>
      </c>
      <c r="F78" s="10" t="inlineStr">
        <is>
          <t>DSC_0761 PNC dnd si.MOV</t>
        </is>
      </c>
      <c r="G78" s="11" t="n">
        <v>23.72</v>
      </c>
      <c r="H78" s="10" t="inlineStr">
        <is>
          <t>Prestaciones</t>
        </is>
      </c>
      <c r="I78" s="12" t="b">
        <v>0</v>
      </c>
      <c r="J78" s="11" t="n">
        <v>0.885</v>
      </c>
      <c r="K78" s="11" t="n">
        <v>0</v>
      </c>
      <c r="L78" s="11" t="n">
        <v>0.41</v>
      </c>
      <c r="M78" s="10" t="inlineStr">
        <is>
          <t>OK</t>
        </is>
      </c>
      <c r="N78" s="9" t="n"/>
    </row>
    <row r="79">
      <c r="A79" s="7" t="inlineStr">
        <is>
          <t>XxDsNzglSzU</t>
        </is>
      </c>
      <c r="B79" s="7" t="inlineStr">
        <is>
          <t>6.  Incluir Salud</t>
        </is>
      </c>
      <c r="C79" s="7" t="n">
        <v>23</v>
      </c>
      <c r="D79" s="7" t="inlineStr">
        <is>
          <t>Guía de Información 2018/2019 | Salud</t>
        </is>
      </c>
      <c r="E79" s="7" t="inlineStr">
        <is>
          <t>Salud</t>
        </is>
      </c>
      <c r="F79" s="7" t="inlineStr">
        <is>
          <t>DSC_0726 salud2 si.MOV</t>
        </is>
      </c>
      <c r="G79" s="7" t="n">
        <v>20.12</v>
      </c>
      <c r="H79" s="7" t="inlineStr">
        <is>
          <t>Salud</t>
        </is>
      </c>
      <c r="I79" s="7" t="b">
        <v>0</v>
      </c>
      <c r="J79" s="7" t="n">
        <v>0.875</v>
      </c>
      <c r="K79" s="7" t="n">
        <v>0</v>
      </c>
      <c r="L79" s="7" t="n">
        <v>0.406</v>
      </c>
      <c r="M79" s="7" t="n"/>
    </row>
    <row r="80">
      <c r="A80" s="7" t="inlineStr">
        <is>
          <t>0Vxf04VftJE</t>
        </is>
      </c>
      <c r="B80" s="7" t="inlineStr">
        <is>
          <t>1. Beneficios fiscales</t>
        </is>
      </c>
      <c r="C80" s="7" t="n">
        <v>5</v>
      </c>
      <c r="D80" s="7" t="inlineStr">
        <is>
          <t>Guía de Información 2018/2019 | Beneficios Fiscales</t>
        </is>
      </c>
      <c r="E80" s="7" t="inlineStr">
        <is>
          <t>BeneficiosFiscales</t>
        </is>
      </c>
      <c r="F80" s="7" t="inlineStr">
        <is>
          <t>DSC_0705 Titulo Educacion.MOV</t>
        </is>
      </c>
      <c r="G80" s="7" t="n">
        <v>5.91</v>
      </c>
      <c r="H80" s="7" t="inlineStr">
        <is>
          <t>Educacion</t>
        </is>
      </c>
      <c r="I80" s="7" t="b">
        <v>0</v>
      </c>
      <c r="J80" s="7" t="n">
        <v>0.846</v>
      </c>
      <c r="K80" s="7" t="n">
        <v>0</v>
      </c>
      <c r="L80" s="7" t="n">
        <v>0.296</v>
      </c>
      <c r="M80" s="7" t="n"/>
    </row>
    <row r="81">
      <c r="A81" s="7" t="inlineStr">
        <is>
          <t>O_9wfdgHaW4</t>
        </is>
      </c>
      <c r="B81" s="7" t="inlineStr">
        <is>
          <t>8. Asignación por hijo con discapacidad</t>
        </is>
      </c>
      <c r="C81" s="7" t="n">
        <v>38</v>
      </c>
      <c r="D81" s="7" t="inlineStr">
        <is>
          <t>Guía de Información 2018/2019 | Sistema Previsional</t>
        </is>
      </c>
      <c r="E81" s="7" t="inlineStr">
        <is>
          <t>Prestaciones</t>
        </is>
      </c>
      <c r="F81" s="7" t="inlineStr">
        <is>
          <t>DSC_0773 Pension fliar si.MOV</t>
        </is>
      </c>
      <c r="G81" s="7" t="n">
        <v>45.15</v>
      </c>
      <c r="H81" s="7" t="inlineStr">
        <is>
          <t>Prestaciones</t>
        </is>
      </c>
      <c r="I81" s="7" t="b">
        <v>0</v>
      </c>
      <c r="J81" s="7" t="n">
        <v>0.842</v>
      </c>
      <c r="K81" s="7" t="n">
        <v>0</v>
      </c>
      <c r="L81" s="7" t="n">
        <v>0.395</v>
      </c>
      <c r="M81" s="7" t="n"/>
    </row>
    <row r="82">
      <c r="A82" s="7" t="inlineStr">
        <is>
          <t>Psy8y4VfJ2s</t>
        </is>
      </c>
      <c r="B82" s="7" t="inlineStr">
        <is>
          <t>3. Registro Acompañantes No Docentes APND</t>
        </is>
      </c>
      <c r="C82" s="7" t="n">
        <v>57</v>
      </c>
      <c r="D82" s="7" t="inlineStr">
        <is>
          <t>Guía de Información 2018/2019 | Educación</t>
        </is>
      </c>
      <c r="E82" s="7" t="inlineStr">
        <is>
          <t>Educacion</t>
        </is>
      </c>
      <c r="F82" s="7" t="inlineStr">
        <is>
          <t>DSC_0881 p.96 material en braille.MOV</t>
        </is>
      </c>
      <c r="G82" s="7" t="n">
        <v>47.55</v>
      </c>
      <c r="H82" s="7" t="inlineStr">
        <is>
          <t>Educacion</t>
        </is>
      </c>
      <c r="I82" s="7" t="b">
        <v>1</v>
      </c>
      <c r="J82" s="7" t="n">
        <v>0.834</v>
      </c>
      <c r="K82" s="7" t="n">
        <v>0</v>
      </c>
      <c r="L82" s="7" t="n">
        <v>0.392</v>
      </c>
      <c r="M82" s="7" t="n"/>
    </row>
    <row r="83">
      <c r="A83" s="2" t="inlineStr">
        <is>
          <t>Wns-CUyyQL0</t>
        </is>
      </c>
      <c r="B83" s="2" t="inlineStr">
        <is>
          <t>7. Materiales didácticos</t>
        </is>
      </c>
      <c r="C83" s="2" t="n">
        <v>29</v>
      </c>
      <c r="D83" s="2" t="inlineStr">
        <is>
          <t>Guía de Información 2018/2019 | Educación</t>
        </is>
      </c>
      <c r="E83" s="2" t="inlineStr">
        <is>
          <t>Educacion</t>
        </is>
      </c>
      <c r="F83" s="2" t="inlineStr">
        <is>
          <t>DSC_0881 p.96 material en braille.MOV</t>
        </is>
      </c>
      <c r="G83" s="2" t="n">
        <v>47.55</v>
      </c>
      <c r="H83" s="2" t="inlineStr">
        <is>
          <t>Educacion</t>
        </is>
      </c>
      <c r="I83" s="2" t="b">
        <v>1</v>
      </c>
      <c r="J83" s="2" t="n">
        <v>0.834</v>
      </c>
      <c r="K83" s="2" t="n">
        <v>0</v>
      </c>
      <c r="L83" s="2" t="n">
        <v>0.392</v>
      </c>
      <c r="M83" s="2" t="inlineStr">
        <is>
          <t>OK</t>
        </is>
      </c>
    </row>
    <row r="84">
      <c r="A84" s="7" t="inlineStr">
        <is>
          <t>bx3o-WISVPk</t>
        </is>
      </c>
      <c r="B84" s="7" t="inlineStr">
        <is>
          <t>4.  ¿Para qué sirve el CUD?</t>
        </is>
      </c>
      <c r="C84" s="7" t="n">
        <v>17</v>
      </c>
      <c r="D84" s="7" t="inlineStr">
        <is>
          <t>Guía de Información 2018/2019 | Certificado Único de Discapacidad - CUD</t>
        </is>
      </c>
      <c r="E84" s="7" t="inlineStr">
        <is>
          <t>CUD</t>
        </is>
      </c>
      <c r="F84" s="7" t="inlineStr">
        <is>
          <t>DSC_0700 Titulo CUD.MOV</t>
        </is>
      </c>
      <c r="G84" s="7" t="n">
        <v>20.72</v>
      </c>
      <c r="H84" s="7" t="inlineStr">
        <is>
          <t>CUD</t>
        </is>
      </c>
      <c r="I84" s="7" t="b">
        <v>0</v>
      </c>
      <c r="J84" s="7" t="n">
        <v>0.82</v>
      </c>
      <c r="K84" s="7" t="n">
        <v>0</v>
      </c>
      <c r="L84" s="7" t="n">
        <v>0.387</v>
      </c>
      <c r="M84" s="7" t="n"/>
    </row>
    <row r="85">
      <c r="A85" s="7" t="inlineStr">
        <is>
          <t>75jVq4wKLEo</t>
        </is>
      </c>
      <c r="B85" s="7" t="inlineStr">
        <is>
          <t>5.  ¿Para qué son los ajustes razonables?</t>
        </is>
      </c>
      <c r="C85" s="7" t="n">
        <v>24</v>
      </c>
      <c r="D85" s="7" t="inlineStr">
        <is>
          <t>Guía de Información 2018/2019 | Certificado Único de Discapacidad - CUD</t>
        </is>
      </c>
      <c r="E85" s="7" t="inlineStr">
        <is>
          <t>CUD</t>
        </is>
      </c>
      <c r="F85" s="7" t="inlineStr">
        <is>
          <t>DSC_0710 CUD3 si (ver).MOV</t>
        </is>
      </c>
      <c r="G85" s="7" t="n">
        <v>29.43</v>
      </c>
      <c r="H85" s="7" t="inlineStr">
        <is>
          <t>CUD</t>
        </is>
      </c>
      <c r="I85" s="7" t="b">
        <v>0</v>
      </c>
      <c r="J85" s="7" t="n">
        <v>0.8149999999999999</v>
      </c>
      <c r="K85" s="7" t="n">
        <v>0</v>
      </c>
      <c r="L85" s="7" t="n">
        <v>0.385</v>
      </c>
      <c r="M85" s="7" t="n"/>
    </row>
    <row r="86">
      <c r="A86" s="2" t="inlineStr">
        <is>
          <t>qxy6Wv4NRB4</t>
        </is>
      </c>
      <c r="B86" s="2" t="inlineStr">
        <is>
          <t>1. ¿Qué es el certificado Único de Discapacidad?</t>
        </is>
      </c>
      <c r="C86" s="2" t="n">
        <v>23</v>
      </c>
      <c r="D86" s="2" t="inlineStr">
        <is>
          <t>Guía de Información 2018/2019 | Certificado Único de Discapacidad - CUD</t>
        </is>
      </c>
      <c r="E86" s="2" t="inlineStr">
        <is>
          <t>CUD</t>
        </is>
      </c>
      <c r="F86" s="2" t="inlineStr">
        <is>
          <t>DSC_0710 CUD3 si (ver).MOV</t>
        </is>
      </c>
      <c r="G86" s="2" t="n">
        <v>29.43</v>
      </c>
      <c r="H86" s="2" t="inlineStr">
        <is>
          <t>CUD</t>
        </is>
      </c>
      <c r="I86" s="2" t="b">
        <v>0</v>
      </c>
      <c r="J86" s="2" t="n">
        <v>0.8149999999999999</v>
      </c>
      <c r="K86" s="2" t="n">
        <v>0</v>
      </c>
      <c r="L86" s="2" t="n">
        <v>0.385</v>
      </c>
      <c r="M86" s="2" t="inlineStr">
        <is>
          <t>OK</t>
        </is>
      </c>
      <c r="N86" s="13" t="n"/>
      <c r="O86" s="13" t="n"/>
      <c r="P86" s="13" t="n"/>
      <c r="Q86" s="13" t="n"/>
      <c r="R86" s="13" t="n"/>
    </row>
    <row r="87">
      <c r="A87" s="7" t="inlineStr">
        <is>
          <t>ook_O5pd3D0</t>
        </is>
      </c>
      <c r="B87" s="7" t="inlineStr">
        <is>
          <t>Circuito 1: San Nicolás / Casco Histórico</t>
        </is>
      </c>
      <c r="C87" s="7" t="n">
        <v>222</v>
      </c>
      <c r="D87" s="7" t="inlineStr">
        <is>
          <t>Guía de Turismo 2018/2019</t>
        </is>
      </c>
      <c r="E87" s="7" t="inlineStr">
        <is>
          <t>Turismo</t>
        </is>
      </c>
      <c r="F87" s="7" t="n"/>
      <c r="G87" s="7" t="n"/>
      <c r="H87" s="7" t="n"/>
      <c r="I87" s="7" t="b">
        <v>0</v>
      </c>
      <c r="J87" s="7" t="n">
        <v>0</v>
      </c>
      <c r="K87" s="7" t="n">
        <v>0</v>
      </c>
      <c r="L87" s="7" t="n">
        <v>0</v>
      </c>
      <c r="M87" s="7" t="n"/>
    </row>
    <row r="88">
      <c r="A88" s="7" t="inlineStr">
        <is>
          <t>VlfX8oURh-s</t>
        </is>
      </c>
      <c r="B88" s="7" t="inlineStr">
        <is>
          <t>Circuito 2: San Telmo / La Boca</t>
        </is>
      </c>
      <c r="C88" s="7" t="n">
        <v>276</v>
      </c>
      <c r="D88" s="7" t="inlineStr">
        <is>
          <t>Guía de Turismo 2018/2019</t>
        </is>
      </c>
      <c r="E88" s="7" t="inlineStr">
        <is>
          <t>Turismo</t>
        </is>
      </c>
      <c r="F88" s="7" t="n"/>
      <c r="G88" s="7" t="n"/>
      <c r="H88" s="7" t="n"/>
      <c r="I88" s="7" t="b">
        <v>0</v>
      </c>
      <c r="J88" s="7" t="n">
        <v>0</v>
      </c>
      <c r="K88" s="7" t="n">
        <v>0</v>
      </c>
      <c r="L88" s="7" t="n">
        <v>0</v>
      </c>
      <c r="M88" s="7" t="n"/>
    </row>
    <row r="89">
      <c r="A89" s="7" t="inlineStr">
        <is>
          <t>q4S4J59Dvr8</t>
        </is>
      </c>
      <c r="B89" s="7" t="inlineStr">
        <is>
          <t>Circuito 3: Recoleta / Retiro</t>
        </is>
      </c>
      <c r="C89" s="7" t="n">
        <v>190</v>
      </c>
      <c r="D89" s="7" t="inlineStr">
        <is>
          <t>Guía de Turismo 2018/2019</t>
        </is>
      </c>
      <c r="E89" s="7" t="inlineStr">
        <is>
          <t>Turismo</t>
        </is>
      </c>
      <c r="F89" s="7" t="n"/>
      <c r="G89" s="7" t="n"/>
      <c r="H89" s="7" t="n"/>
      <c r="I89" s="7" t="b">
        <v>0</v>
      </c>
      <c r="J89" s="7" t="n">
        <v>0</v>
      </c>
      <c r="K89" s="7" t="n">
        <v>0</v>
      </c>
      <c r="L89" s="7" t="n">
        <v>0</v>
      </c>
      <c r="M89" s="7" t="n"/>
    </row>
    <row r="90">
      <c r="A90" s="7" t="inlineStr">
        <is>
          <t>nbHsyDeo3Eo</t>
        </is>
      </c>
      <c r="B90" s="7" t="inlineStr">
        <is>
          <t>Circuito 4: Puerto Madero / Balvanera</t>
        </is>
      </c>
      <c r="C90" s="7" t="n">
        <v>270</v>
      </c>
      <c r="D90" s="7" t="inlineStr">
        <is>
          <t>Guía de Turismo 2018/2019</t>
        </is>
      </c>
      <c r="E90" s="7" t="inlineStr">
        <is>
          <t>Turismo</t>
        </is>
      </c>
      <c r="F90" s="7" t="n"/>
      <c r="G90" s="7" t="n"/>
      <c r="H90" s="7" t="n"/>
      <c r="I90" s="7" t="b">
        <v>0</v>
      </c>
      <c r="J90" s="7" t="n">
        <v>0</v>
      </c>
      <c r="K90" s="7" t="n">
        <v>0</v>
      </c>
      <c r="L90" s="7" t="n">
        <v>0</v>
      </c>
      <c r="M90" s="7" t="n"/>
    </row>
    <row r="91">
      <c r="A91" s="7" t="inlineStr">
        <is>
          <t>QG7ND5YNfVQ</t>
        </is>
      </c>
      <c r="B91" s="7" t="inlineStr">
        <is>
          <t>Circuito 5: Palermo / Belgrano</t>
        </is>
      </c>
      <c r="C91" s="7" t="n">
        <v>196</v>
      </c>
      <c r="D91" s="7" t="inlineStr">
        <is>
          <t>Guía de Turismo 2018/2019</t>
        </is>
      </c>
      <c r="E91" s="7" t="inlineStr">
        <is>
          <t>Turismo</t>
        </is>
      </c>
      <c r="F91" s="7" t="n"/>
      <c r="G91" s="7" t="n"/>
      <c r="H91" s="7" t="n"/>
      <c r="I91" s="7" t="b">
        <v>0</v>
      </c>
      <c r="J91" s="7" t="n">
        <v>0</v>
      </c>
      <c r="K91" s="7" t="n">
        <v>0</v>
      </c>
      <c r="L91" s="7" t="n">
        <v>0</v>
      </c>
      <c r="M91" s="7" t="n"/>
    </row>
    <row r="92">
      <c r="A92" s="2" t="inlineStr">
        <is>
          <t>DQO5MhSq8ks</t>
        </is>
      </c>
      <c r="B92" s="2" t="inlineStr">
        <is>
          <t xml:space="preserve"> 4. Perro guía o de asistencia</t>
        </is>
      </c>
      <c r="C92" s="2" t="n">
        <v>53</v>
      </c>
      <c r="D92" s="2" t="inlineStr">
        <is>
          <t xml:space="preserve"> | Guía de Información 2018/2019 | Transporte</t>
        </is>
      </c>
      <c r="E92" s="2" t="inlineStr">
        <is>
          <t>Transporte</t>
        </is>
      </c>
      <c r="F92" s="2" t="inlineStr">
        <is>
          <t>DSC_0812 Perro guia primera parte.MOV</t>
        </is>
      </c>
      <c r="G92" s="2" t="n">
        <v>48.95</v>
      </c>
      <c r="H92" s="2" t="inlineStr">
        <is>
          <t>Accesibilidad</t>
        </is>
      </c>
      <c r="I92" s="2" t="b">
        <v>1</v>
      </c>
      <c r="J92" s="2" t="n">
        <v>0.924</v>
      </c>
      <c r="K92" s="2" t="n">
        <v>0.226</v>
      </c>
      <c r="L92" s="2" t="n">
        <v>0.448</v>
      </c>
      <c r="M92" s="2" t="inlineStr">
        <is>
          <t>OK</t>
        </is>
      </c>
    </row>
    <row r="93">
      <c r="B93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51"/>
  <sheetViews>
    <sheetView workbookViewId="0">
      <selection activeCell="A1" sqref="A1"/>
    </sheetView>
  </sheetViews>
  <sheetFormatPr baseColWidth="8" defaultColWidth="12.63" defaultRowHeight="15.75" customHeight="1"/>
  <cols>
    <col width="22.5" customWidth="1" style="17" min="1" max="1"/>
    <col width="28.88" customWidth="1" style="17" min="2" max="2"/>
    <col width="17.88" customWidth="1" style="17" min="3" max="3"/>
    <col width="59.13" customWidth="1" style="17" min="4" max="4"/>
    <col width="31" customWidth="1" style="17" min="5" max="5"/>
  </cols>
  <sheetData>
    <row r="1">
      <c r="A1" s="13">
        <f>IFERROR(__xludf.DUMMYFUNCTION("{
 MATCHES!A1:M1;
 SORT(
  FILTER(MATCHES!A2:M1000, MATCHES!M2:M1000=""OK""),
  4, TRUE,
  2, TRUE
 )
}"),"yt_id")</f>
        <v/>
      </c>
      <c r="B1" s="13">
        <f>IFERROR(__xludf.DUMMYFUNCTION("""COMPUTED_VALUE"""),"yt_title")</f>
        <v/>
      </c>
      <c r="C1" s="13">
        <f>IFERROR(__xludf.DUMMYFUNCTION("""COMPUTED_VALUE"""),"yt_dur_s")</f>
        <v/>
      </c>
      <c r="D1" s="13">
        <f>IFERROR(__xludf.DUMMYFUNCTION("""COMPUTED_VALUE"""),"playlist")</f>
        <v/>
      </c>
      <c r="E1" s="13">
        <f>IFERROR(__xludf.DUMMYFUNCTION("""COMPUTED_VALUE"""),"yt_topic")</f>
        <v/>
      </c>
      <c r="F1" s="13">
        <f>IFERROR(__xludf.DUMMYFUNCTION("""COMPUTED_VALUE"""),"local_file")</f>
        <v/>
      </c>
      <c r="G1" s="13">
        <f>IFERROR(__xludf.DUMMYFUNCTION("""COMPUTED_VALUE"""),"local_dur_s")</f>
        <v/>
      </c>
      <c r="H1" s="13">
        <f>IFERROR(__xludf.DUMMYFUNCTION("""COMPUTED_VALUE"""),"local_topic")</f>
        <v/>
      </c>
      <c r="I1" s="13">
        <f>IFERROR(__xludf.DUMMYFUNCTION("""COMPUTED_VALUE"""),"has_sub")</f>
        <v/>
      </c>
      <c r="J1" s="13">
        <f>IFERROR(__xludf.DUMMYFUNCTION("""COMPUTED_VALUE"""),"dur_score")</f>
        <v/>
      </c>
      <c r="K1" s="13">
        <f>IFERROR(__xludf.DUMMYFUNCTION("""COMPUTED_VALUE"""),"tfidf_score")</f>
        <v/>
      </c>
      <c r="L1" s="13">
        <f>IFERROR(__xludf.DUMMYFUNCTION("""COMPUTED_VALUE"""),"score")</f>
        <v/>
      </c>
      <c r="M1" s="13">
        <f>IFERROR(__xludf.DUMMYFUNCTION("""COMPUTED_VALUE"""),"match")</f>
        <v/>
      </c>
    </row>
    <row r="2">
      <c r="A2" s="13">
        <f>IFERROR(__xludf.DUMMYFUNCTION("""COMPUTED_VALUE"""),"DQO5MhSq8ks")</f>
        <v/>
      </c>
      <c r="B2" s="13">
        <f>IFERROR(__xludf.DUMMYFUNCTION("""COMPUTED_VALUE""")," 4. Perro guía o de asistencia")</f>
        <v/>
      </c>
      <c r="C2" s="13">
        <f>IFERROR(__xludf.DUMMYFUNCTION("""COMPUTED_VALUE"""),53.0)</f>
        <v/>
      </c>
      <c r="D2" s="13">
        <f>IFERROR(__xludf.DUMMYFUNCTION("""COMPUTED_VALUE""")," | Guía de Información 2018/2019 | Transporte")</f>
        <v/>
      </c>
      <c r="E2" s="13">
        <f>IFERROR(__xludf.DUMMYFUNCTION("""COMPUTED_VALUE"""),"Transporte")</f>
        <v/>
      </c>
      <c r="F2" s="13">
        <f>IFERROR(__xludf.DUMMYFUNCTION("""COMPUTED_VALUE"""),"DSC_0812 Perro guia primera parte.MOV")</f>
        <v/>
      </c>
      <c r="G2" s="13">
        <f>IFERROR(__xludf.DUMMYFUNCTION("""COMPUTED_VALUE"""),48.95)</f>
        <v/>
      </c>
      <c r="H2" s="13">
        <f>IFERROR(__xludf.DUMMYFUNCTION("""COMPUTED_VALUE"""),"Accesibilidad")</f>
        <v/>
      </c>
      <c r="I2" s="13">
        <f>IFERROR(__xludf.DUMMYFUNCTION("""COMPUTED_VALUE"""),TRUE)</f>
        <v/>
      </c>
      <c r="J2" s="13">
        <f>IFERROR(__xludf.DUMMYFUNCTION("""COMPUTED_VALUE"""),0.924)</f>
        <v/>
      </c>
      <c r="K2" s="13">
        <f>IFERROR(__xludf.DUMMYFUNCTION("""COMPUTED_VALUE"""),0.226)</f>
        <v/>
      </c>
      <c r="L2" s="13">
        <f>IFERROR(__xludf.DUMMYFUNCTION("""COMPUTED_VALUE"""),0.448)</f>
        <v/>
      </c>
      <c r="M2" s="13">
        <f>IFERROR(__xludf.DUMMYFUNCTION("""COMPUTED_VALUE"""),"OK")</f>
        <v/>
      </c>
    </row>
    <row r="3">
      <c r="A3" s="13">
        <f>IFERROR(__xludf.DUMMYFUNCTION("""COMPUTED_VALUE"""),"52hONjN3AMk")</f>
        <v/>
      </c>
      <c r="B3" s="13">
        <f>IFERROR(__xludf.DUMMYFUNCTION("""COMPUTED_VALUE"""),"1. COPIDIS Área Accesibilidad")</f>
        <v/>
      </c>
      <c r="C3" s="13">
        <f>IFERROR(__xludf.DUMMYFUNCTION("""COMPUTED_VALUE"""),56.0)</f>
        <v/>
      </c>
      <c r="D3" s="13">
        <f>IFERROR(__xludf.DUMMYFUNCTION("""COMPUTED_VALUE"""),"Guía de Información 2018/2019 | Accesibilidad")</f>
        <v/>
      </c>
      <c r="E3" s="13">
        <f>IFERROR(__xludf.DUMMYFUNCTION("""COMPUTED_VALUE"""),"Accesibilidad")</f>
        <v/>
      </c>
      <c r="F3" s="13">
        <f>IFERROR(__xludf.DUMMYFUNCTION("""COMPUTED_VALUE"""),"DSC_0839 p.65 accesibilidad.MOV")</f>
        <v/>
      </c>
      <c r="G3" s="13">
        <f>IFERROR(__xludf.DUMMYFUNCTION("""COMPUTED_VALUE"""),63.76)</f>
        <v/>
      </c>
      <c r="H3" s="13">
        <f>IFERROR(__xludf.DUMMYFUNCTION("""COMPUTED_VALUE"""),"Accesibilidad")</f>
        <v/>
      </c>
      <c r="I3" s="13">
        <f>IFERROR(__xludf.DUMMYFUNCTION("""COMPUTED_VALUE"""),TRUE)</f>
        <v/>
      </c>
      <c r="J3" s="13">
        <f>IFERROR(__xludf.DUMMYFUNCTION("""COMPUTED_VALUE"""),0.878)</f>
        <v/>
      </c>
      <c r="K3" s="13">
        <f>IFERROR(__xludf.DUMMYFUNCTION("""COMPUTED_VALUE"""),0.234)</f>
        <v/>
      </c>
      <c r="L3" s="13">
        <f>IFERROR(__xludf.DUMMYFUNCTION("""COMPUTED_VALUE"""),0.536)</f>
        <v/>
      </c>
      <c r="M3" s="13">
        <f>IFERROR(__xludf.DUMMYFUNCTION("""COMPUTED_VALUE"""),"OK")</f>
        <v/>
      </c>
    </row>
    <row r="4">
      <c r="A4" s="13">
        <f>IFERROR(__xludf.DUMMYFUNCTION("""COMPUTED_VALUE"""),"hQPyeZn-CEo")</f>
        <v/>
      </c>
      <c r="B4" s="13">
        <f>IFERROR(__xludf.DUMMYFUNCTION("""COMPUTED_VALUE"""),"2. ¿Cómo presentar un reclamo?")</f>
        <v/>
      </c>
      <c r="C4" s="13">
        <f>IFERROR(__xludf.DUMMYFUNCTION("""COMPUTED_VALUE"""),33.0)</f>
        <v/>
      </c>
      <c r="D4" s="13">
        <f>IFERROR(__xludf.DUMMYFUNCTION("""COMPUTED_VALUE"""),"Guía de Información 2018/2019 | Accesibilidad")</f>
        <v/>
      </c>
      <c r="E4" s="13">
        <f>IFERROR(__xludf.DUMMYFUNCTION("""COMPUTED_VALUE"""),"Accesibilidad")</f>
        <v/>
      </c>
      <c r="F4" s="13">
        <f>IFERROR(__xludf.DUMMYFUNCTION("""COMPUTED_VALUE"""),"DSC_0841 p.66.MOV")</f>
        <v/>
      </c>
      <c r="G4" s="13">
        <f>IFERROR(__xludf.DUMMYFUNCTION("""COMPUTED_VALUE"""),45.45)</f>
        <v/>
      </c>
      <c r="H4" s="13">
        <f>IFERROR(__xludf.DUMMYFUNCTION("""COMPUTED_VALUE"""),"Accesibilidad")</f>
        <v/>
      </c>
      <c r="I4" s="13">
        <f>IFERROR(__xludf.DUMMYFUNCTION("""COMPUTED_VALUE"""),TRUE)</f>
        <v/>
      </c>
      <c r="J4" s="13">
        <f>IFERROR(__xludf.DUMMYFUNCTION("""COMPUTED_VALUE"""),0.726)</f>
        <v/>
      </c>
      <c r="K4" s="13">
        <f>IFERROR(__xludf.DUMMYFUNCTION("""COMPUTED_VALUE"""),0.367)</f>
        <v/>
      </c>
      <c r="L4" s="13">
        <f>IFERROR(__xludf.DUMMYFUNCTION("""COMPUTED_VALUE"""),0.556)</f>
        <v/>
      </c>
      <c r="M4" s="13">
        <f>IFERROR(__xludf.DUMMYFUNCTION("""COMPUTED_VALUE"""),"OK")</f>
        <v/>
      </c>
    </row>
    <row r="5">
      <c r="A5" s="13">
        <f>IFERROR(__xludf.DUMMYFUNCTION("""COMPUTED_VALUE"""),"V-YJmvUkKog")</f>
        <v/>
      </c>
      <c r="B5" s="13">
        <f>IFERROR(__xludf.DUMMYFUNCTION("""COMPUTED_VALUE"""),"3. Ley No. 962 de accesibilidad edilicia")</f>
        <v/>
      </c>
      <c r="C5" s="13">
        <f>IFERROR(__xludf.DUMMYFUNCTION("""COMPUTED_VALUE"""),47.0)</f>
        <v/>
      </c>
      <c r="D5" s="13">
        <f>IFERROR(__xludf.DUMMYFUNCTION("""COMPUTED_VALUE"""),"Guía de Información 2018/2019 | Accesibilidad")</f>
        <v/>
      </c>
      <c r="E5" s="13">
        <f>IFERROR(__xludf.DUMMYFUNCTION("""COMPUTED_VALUE"""),"Accesibilidad")</f>
        <v/>
      </c>
      <c r="F5" s="13">
        <f>IFERROR(__xludf.DUMMYFUNCTION("""COMPUTED_VALUE"""),"DSC_0845 p.68 edificio accesible.MOV")</f>
        <v/>
      </c>
      <c r="G5" s="13">
        <f>IFERROR(__xludf.DUMMYFUNCTION("""COMPUTED_VALUE"""),52.55)</f>
        <v/>
      </c>
      <c r="H5" s="13">
        <f>IFERROR(__xludf.DUMMYFUNCTION("""COMPUTED_VALUE"""),"Accesibilidad")</f>
        <v/>
      </c>
      <c r="I5" s="13">
        <f>IFERROR(__xludf.DUMMYFUNCTION("""COMPUTED_VALUE"""),TRUE)</f>
        <v/>
      </c>
      <c r="J5" s="13">
        <f>IFERROR(__xludf.DUMMYFUNCTION("""COMPUTED_VALUE"""),0.894)</f>
        <v/>
      </c>
      <c r="K5" s="13">
        <f>IFERROR(__xludf.DUMMYFUNCTION("""COMPUTED_VALUE"""),0.304)</f>
        <v/>
      </c>
      <c r="L5" s="13">
        <f>IFERROR(__xludf.DUMMYFUNCTION("""COMPUTED_VALUE"""),0.58)</f>
        <v/>
      </c>
      <c r="M5" s="13">
        <f>IFERROR(__xludf.DUMMYFUNCTION("""COMPUTED_VALUE"""),"OK")</f>
        <v/>
      </c>
    </row>
    <row r="6">
      <c r="A6" s="13">
        <f>IFERROR(__xludf.DUMMYFUNCTION("""COMPUTED_VALUE"""),"oE49uoxSRr8")</f>
        <v/>
      </c>
      <c r="B6" s="13">
        <f>IFERROR(__xludf.DUMMYFUNCTION("""COMPUTED_VALUE"""),"4. Reclamos online")</f>
        <v/>
      </c>
      <c r="C6" s="13">
        <f>IFERROR(__xludf.DUMMYFUNCTION("""COMPUTED_VALUE"""),27.0)</f>
        <v/>
      </c>
      <c r="D6" s="13">
        <f>IFERROR(__xludf.DUMMYFUNCTION("""COMPUTED_VALUE"""),"Guía de Información 2018/2019 | Accesibilidad")</f>
        <v/>
      </c>
      <c r="E6" s="13">
        <f>IFERROR(__xludf.DUMMYFUNCTION("""COMPUTED_VALUE"""),"Accesibilidad")</f>
        <v/>
      </c>
      <c r="F6" s="13">
        <f>IFERROR(__xludf.DUMMYFUNCTION("""COMPUTED_VALUE"""),"DSC_0846 p.68 lugr publico.MOV")</f>
        <v/>
      </c>
      <c r="G6" s="13">
        <f>IFERROR(__xludf.DUMMYFUNCTION("""COMPUTED_VALUE"""),31.53)</f>
        <v/>
      </c>
      <c r="H6" s="13">
        <f>IFERROR(__xludf.DUMMYFUNCTION("""COMPUTED_VALUE"""),"Accesibilidad")</f>
        <v/>
      </c>
      <c r="I6" s="13">
        <f>IFERROR(__xludf.DUMMYFUNCTION("""COMPUTED_VALUE"""),TRUE)</f>
        <v/>
      </c>
      <c r="J6" s="13">
        <f>IFERROR(__xludf.DUMMYFUNCTION("""COMPUTED_VALUE"""),0.856)</f>
        <v/>
      </c>
      <c r="K6" s="13">
        <f>IFERROR(__xludf.DUMMYFUNCTION("""COMPUTED_VALUE"""),0.083)</f>
        <v/>
      </c>
      <c r="L6" s="13">
        <f>IFERROR(__xludf.DUMMYFUNCTION("""COMPUTED_VALUE"""),0.445)</f>
        <v/>
      </c>
      <c r="M6" s="13">
        <f>IFERROR(__xludf.DUMMYFUNCTION("""COMPUTED_VALUE"""),"OK")</f>
        <v/>
      </c>
    </row>
    <row r="7">
      <c r="A7" s="13">
        <f>IFERROR(__xludf.DUMMYFUNCTION("""COMPUTED_VALUE"""),"Aza2d0yi5bs")</f>
        <v/>
      </c>
      <c r="B7" s="13">
        <f>IFERROR(__xludf.DUMMYFUNCTION("""COMPUTED_VALUE"""),"5. Guía de Turismo Accesible")</f>
        <v/>
      </c>
      <c r="C7" s="13">
        <f>IFERROR(__xludf.DUMMYFUNCTION("""COMPUTED_VALUE"""),52.0)</f>
        <v/>
      </c>
      <c r="D7" s="13">
        <f>IFERROR(__xludf.DUMMYFUNCTION("""COMPUTED_VALUE"""),"Guía de Información 2018/2019 | Accesibilidad")</f>
        <v/>
      </c>
      <c r="E7" s="13">
        <f>IFERROR(__xludf.DUMMYFUNCTION("""COMPUTED_VALUE"""),"Accesibilidad")</f>
        <v/>
      </c>
      <c r="F7" s="13">
        <f>IFERROR(__xludf.DUMMYFUNCTION("""COMPUTED_VALUE"""),"DSC_0847 p.69.MOV")</f>
        <v/>
      </c>
      <c r="G7" s="13">
        <f>IFERROR(__xludf.DUMMYFUNCTION("""COMPUTED_VALUE"""),54.15)</f>
        <v/>
      </c>
      <c r="H7" s="13">
        <f>IFERROR(__xludf.DUMMYFUNCTION("""COMPUTED_VALUE"""),"Accesibilidad")</f>
        <v/>
      </c>
      <c r="I7" s="13">
        <f>IFERROR(__xludf.DUMMYFUNCTION("""COMPUTED_VALUE"""),TRUE)</f>
        <v/>
      </c>
      <c r="J7" s="13">
        <f>IFERROR(__xludf.DUMMYFUNCTION("""COMPUTED_VALUE"""),0.96)</f>
        <v/>
      </c>
      <c r="K7" s="13">
        <f>IFERROR(__xludf.DUMMYFUNCTION("""COMPUTED_VALUE"""),0.286)</f>
        <v/>
      </c>
      <c r="L7" s="13">
        <f>IFERROR(__xludf.DUMMYFUNCTION("""COMPUTED_VALUE"""),0.593)</f>
        <v/>
      </c>
      <c r="M7" s="13">
        <f>IFERROR(__xludf.DUMMYFUNCTION("""COMPUTED_VALUE"""),"OK")</f>
        <v/>
      </c>
    </row>
    <row r="8">
      <c r="A8" s="13">
        <f>IFERROR(__xludf.DUMMYFUNCTION("""COMPUTED_VALUE"""),"ZbjWSR5fl88")</f>
        <v/>
      </c>
      <c r="B8" s="13">
        <f>IFERROR(__xludf.DUMMYFUNCTION("""COMPUTED_VALUE"""),"6.  App BA Accesible")</f>
        <v/>
      </c>
      <c r="C8" s="13">
        <f>IFERROR(__xludf.DUMMYFUNCTION("""COMPUTED_VALUE"""),64.0)</f>
        <v/>
      </c>
      <c r="D8" s="13">
        <f>IFERROR(__xludf.DUMMYFUNCTION("""COMPUTED_VALUE"""),"Guía de Información 2018/2019 | Accesibilidad")</f>
        <v/>
      </c>
      <c r="E8" s="13">
        <f>IFERROR(__xludf.DUMMYFUNCTION("""COMPUTED_VALUE"""),"Accesibilidad")</f>
        <v/>
      </c>
      <c r="F8" s="13">
        <f>IFERROR(__xludf.DUMMYFUNCTION("""COMPUTED_VALUE"""),"DSC_0848 p.70 BAapp.MOV")</f>
        <v/>
      </c>
      <c r="G8" s="13">
        <f>IFERROR(__xludf.DUMMYFUNCTION("""COMPUTED_VALUE"""),69.67)</f>
        <v/>
      </c>
      <c r="H8" s="13">
        <f>IFERROR(__xludf.DUMMYFUNCTION("""COMPUTED_VALUE"""),"Accesibilidad")</f>
        <v/>
      </c>
      <c r="I8" s="13">
        <f>IFERROR(__xludf.DUMMYFUNCTION("""COMPUTED_VALUE"""),TRUE)</f>
        <v/>
      </c>
      <c r="J8" s="13">
        <f>IFERROR(__xludf.DUMMYFUNCTION("""COMPUTED_VALUE"""),0.919)</f>
        <v/>
      </c>
      <c r="K8" s="13">
        <f>IFERROR(__xludf.DUMMYFUNCTION("""COMPUTED_VALUE"""),0.138)</f>
        <v/>
      </c>
      <c r="L8" s="13">
        <f>IFERROR(__xludf.DUMMYFUNCTION("""COMPUTED_VALUE"""),0.497)</f>
        <v/>
      </c>
      <c r="M8" s="13">
        <f>IFERROR(__xludf.DUMMYFUNCTION("""COMPUTED_VALUE"""),"OK")</f>
        <v/>
      </c>
    </row>
    <row r="9">
      <c r="A9" s="13">
        <f>IFERROR(__xludf.DUMMYFUNCTION("""COMPUTED_VALUE"""),"qxy6Wv4NRB4")</f>
        <v/>
      </c>
      <c r="B9" s="13">
        <f>IFERROR(__xludf.DUMMYFUNCTION("""COMPUTED_VALUE"""),"1. ¿Qué es el certificado Único de Discapacidad?")</f>
        <v/>
      </c>
      <c r="C9" s="13">
        <f>IFERROR(__xludf.DUMMYFUNCTION("""COMPUTED_VALUE"""),23.0)</f>
        <v/>
      </c>
      <c r="D9" s="13">
        <f>IFERROR(__xludf.DUMMYFUNCTION("""COMPUTED_VALUE"""),"Guía de Información 2018/2019 | Certificado Único de Discapacidad - CUD")</f>
        <v/>
      </c>
      <c r="E9" s="13">
        <f>IFERROR(__xludf.DUMMYFUNCTION("""COMPUTED_VALUE"""),"CUD")</f>
        <v/>
      </c>
      <c r="F9" s="13">
        <f>IFERROR(__xludf.DUMMYFUNCTION("""COMPUTED_VALUE"""),"DSC_0710 CUD3 si (ver).MOV")</f>
        <v/>
      </c>
      <c r="G9" s="13">
        <f>IFERROR(__xludf.DUMMYFUNCTION("""COMPUTED_VALUE"""),29.43)</f>
        <v/>
      </c>
      <c r="H9" s="13">
        <f>IFERROR(__xludf.DUMMYFUNCTION("""COMPUTED_VALUE"""),"CUD")</f>
        <v/>
      </c>
      <c r="I9" s="13">
        <f>IFERROR(__xludf.DUMMYFUNCTION("""COMPUTED_VALUE"""),FALSE)</f>
        <v/>
      </c>
      <c r="J9" s="13">
        <f>IFERROR(__xludf.DUMMYFUNCTION("""COMPUTED_VALUE"""),0.815)</f>
        <v/>
      </c>
      <c r="K9" s="13">
        <f>IFERROR(__xludf.DUMMYFUNCTION("""COMPUTED_VALUE"""),0.0)</f>
        <v/>
      </c>
      <c r="L9" s="13">
        <f>IFERROR(__xludf.DUMMYFUNCTION("""COMPUTED_VALUE"""),0.385)</f>
        <v/>
      </c>
      <c r="M9" s="13">
        <f>IFERROR(__xludf.DUMMYFUNCTION("""COMPUTED_VALUE"""),"OK")</f>
        <v/>
      </c>
    </row>
    <row r="10">
      <c r="A10" s="13">
        <f>IFERROR(__xludf.DUMMYFUNCTION("""COMPUTED_VALUE"""),"u4R2ZtoexMU")</f>
        <v/>
      </c>
      <c r="B10" s="13">
        <f>IFERROR(__xludf.DUMMYFUNCTION("""COMPUTED_VALUE"""),"2.  Persona con discapacidad")</f>
        <v/>
      </c>
      <c r="C10" s="13">
        <f>IFERROR(__xludf.DUMMYFUNCTION("""COMPUTED_VALUE"""),35.0)</f>
        <v/>
      </c>
      <c r="D10" s="13">
        <f>IFERROR(__xludf.DUMMYFUNCTION("""COMPUTED_VALUE"""),"Guía de Información 2018/2019 | Certificado Único de Discapacidad - CUD")</f>
        <v/>
      </c>
      <c r="E10" s="13">
        <f>IFERROR(__xludf.DUMMYFUNCTION("""COMPUTED_VALUE"""),"CUD")</f>
        <v/>
      </c>
      <c r="F10" s="13">
        <f>IFERROR(__xludf.DUMMYFUNCTION("""COMPUTED_VALUE"""),"DSC_0715 PCD5 si")</f>
        <v/>
      </c>
      <c r="G10" s="13" t="n"/>
      <c r="H10" s="13" t="n"/>
      <c r="I10" s="13" t="n"/>
      <c r="J10" s="13" t="n"/>
      <c r="K10" s="13" t="n"/>
      <c r="L10" s="13" t="n"/>
      <c r="M10" s="13">
        <f>IFERROR(__xludf.DUMMYFUNCTION("""COMPUTED_VALUE"""),"OK")</f>
        <v/>
      </c>
    </row>
    <row r="11">
      <c r="A11" s="13">
        <f>IFERROR(__xludf.DUMMYFUNCTION("""COMPUTED_VALUE"""),"WnBynb92GWE")</f>
        <v/>
      </c>
      <c r="B11" s="13">
        <f>IFERROR(__xludf.DUMMYFUNCTION("""COMPUTED_VALUE"""),"3. ¿Dónde pedís tu CUD?")</f>
        <v/>
      </c>
      <c r="C11" s="13">
        <f>IFERROR(__xludf.DUMMYFUNCTION("""COMPUTED_VALUE"""),49.0)</f>
        <v/>
      </c>
      <c r="D11" s="13">
        <f>IFERROR(__xludf.DUMMYFUNCTION("""COMPUTED_VALUE"""),"Guía de Información 2018/2019 | Certificado Único de Discapacidad - CUD")</f>
        <v/>
      </c>
      <c r="E11" s="13">
        <f>IFERROR(__xludf.DUMMYFUNCTION("""COMPUTED_VALUE"""),"CUD")</f>
        <v/>
      </c>
      <c r="F11" s="13">
        <f>IFERROR(__xludf.DUMMYFUNCTION("""COMPUTED_VALUE"""),"DSC_0718 CUD tram3 no c.MOV")</f>
        <v/>
      </c>
      <c r="G11" s="13">
        <f>IFERROR(__xludf.DUMMYFUNCTION("""COMPUTED_VALUE"""),52.75)</f>
        <v/>
      </c>
      <c r="H11" s="13">
        <f>IFERROR(__xludf.DUMMYFUNCTION("""COMPUTED_VALUE"""),"CUD")</f>
        <v/>
      </c>
      <c r="I11" s="13">
        <f>IFERROR(__xludf.DUMMYFUNCTION("""COMPUTED_VALUE"""),FALSE)</f>
        <v/>
      </c>
      <c r="J11" s="13">
        <f>IFERROR(__xludf.DUMMYFUNCTION("""COMPUTED_VALUE"""),0.942)</f>
        <v/>
      </c>
      <c r="K11" s="13">
        <f>IFERROR(__xludf.DUMMYFUNCTION("""COMPUTED_VALUE"""),0.0)</f>
        <v/>
      </c>
      <c r="L11" s="13">
        <f>IFERROR(__xludf.DUMMYFUNCTION("""COMPUTED_VALUE"""),0.33)</f>
        <v/>
      </c>
      <c r="M11" s="13">
        <f>IFERROR(__xludf.DUMMYFUNCTION("""COMPUTED_VALUE"""),"OK")</f>
        <v/>
      </c>
    </row>
    <row r="12">
      <c r="A12" s="13">
        <f>IFERROR(__xludf.DUMMYFUNCTION("""COMPUTED_VALUE"""),"bx3o-WISVPk")</f>
        <v/>
      </c>
      <c r="B12" s="13">
        <f>IFERROR(__xludf.DUMMYFUNCTION("""COMPUTED_VALUE"""),"4.  ¿Para qué sirve el CUD?")</f>
        <v/>
      </c>
      <c r="C12" s="13">
        <f>IFERROR(__xludf.DUMMYFUNCTION("""COMPUTED_VALUE"""),17.0)</f>
        <v/>
      </c>
      <c r="D12" s="13">
        <f>IFERROR(__xludf.DUMMYFUNCTION("""COMPUTED_VALUE"""),"Guía de Información 2018/2019 | Certificado Único de Discapacidad - CUD")</f>
        <v/>
      </c>
      <c r="E12" s="13">
        <f>IFERROR(__xludf.DUMMYFUNCTION("""COMPUTED_VALUE"""),"CUD")</f>
        <v/>
      </c>
      <c r="F12" s="13">
        <f>IFERROR(__xludf.DUMMYFUNCTION("""COMPUTED_VALUE"""),"DSC_0719 CUD tram4 si.MOV")</f>
        <v/>
      </c>
      <c r="G12" s="13">
        <f>IFERROR(__xludf.DUMMYFUNCTION("""COMPUTED_VALUE"""),24.12)</f>
        <v/>
      </c>
      <c r="H12" s="13">
        <f>IFERROR(__xludf.DUMMYFUNCTION("""COMPUTED_VALUE"""),"CUD")</f>
        <v/>
      </c>
      <c r="I12" s="13">
        <f>IFERROR(__xludf.DUMMYFUNCTION("""COMPUTED_VALUE"""),FALSE)</f>
        <v/>
      </c>
      <c r="J12" s="13">
        <f>IFERROR(__xludf.DUMMYFUNCTION("""COMPUTED_VALUE"""),0.995)</f>
        <v/>
      </c>
      <c r="K12" s="13">
        <f>IFERROR(__xludf.DUMMYFUNCTION("""COMPUTED_VALUE"""),0.0)</f>
        <v/>
      </c>
      <c r="L12" s="13">
        <f>IFERROR(__xludf.DUMMYFUNCTION("""COMPUTED_VALUE"""),0.348)</f>
        <v/>
      </c>
      <c r="M12" s="13">
        <f>IFERROR(__xludf.DUMMYFUNCTION("""COMPUTED_VALUE"""),"OK")</f>
        <v/>
      </c>
    </row>
    <row r="13">
      <c r="A13" s="13">
        <f>IFERROR(__xludf.DUMMYFUNCTION("""COMPUTED_VALUE"""),"JxP7w7g28D4")</f>
        <v/>
      </c>
      <c r="B13" s="13">
        <f>IFERROR(__xludf.DUMMYFUNCTION("""COMPUTED_VALUE"""),"6.  Apoyos y ajustes razonables")</f>
        <v/>
      </c>
      <c r="C13" s="13">
        <f>IFERROR(__xludf.DUMMYFUNCTION("""COMPUTED_VALUE"""),39.0)</f>
        <v/>
      </c>
      <c r="D13" s="13">
        <f>IFERROR(__xludf.DUMMYFUNCTION("""COMPUTED_VALUE"""),"Guía de Información 2018/2019 | Certificado Único de Discapacidad - CUD")</f>
        <v/>
      </c>
      <c r="E13" s="13">
        <f>IFERROR(__xludf.DUMMYFUNCTION("""COMPUTED_VALUE"""),"CUD")</f>
        <v/>
      </c>
      <c r="F13" s="13">
        <f>IFERROR(__xludf.DUMMYFUNCTION("""COMPUTED_VALUE"""),"DSC_0738 Apoyo3 final.MOV")</f>
        <v/>
      </c>
      <c r="G13" s="13">
        <f>IFERROR(__xludf.DUMMYFUNCTION("""COMPUTED_VALUE"""),42.24)</f>
        <v/>
      </c>
      <c r="H13" s="13">
        <f>IFERROR(__xludf.DUMMYFUNCTION("""COMPUTED_VALUE"""),"unknown")</f>
        <v/>
      </c>
      <c r="I13" s="13">
        <f>IFERROR(__xludf.DUMMYFUNCTION("""COMPUTED_VALUE"""),FALSE)</f>
        <v/>
      </c>
      <c r="J13" s="13">
        <f>IFERROR(__xludf.DUMMYFUNCTION("""COMPUTED_VALUE"""),0.923)</f>
        <v/>
      </c>
      <c r="K13" s="13">
        <f>IFERROR(__xludf.DUMMYFUNCTION("""COMPUTED_VALUE"""),0.04)</f>
        <v/>
      </c>
      <c r="L13" s="13">
        <f>IFERROR(__xludf.DUMMYFUNCTION("""COMPUTED_VALUE"""),0.345)</f>
        <v/>
      </c>
      <c r="M13" s="13">
        <f>IFERROR(__xludf.DUMMYFUNCTION("""COMPUTED_VALUE"""),"OK")</f>
        <v/>
      </c>
    </row>
    <row r="14">
      <c r="A14" s="13">
        <f>IFERROR(__xludf.DUMMYFUNCTION("""COMPUTED_VALUE"""),"fuHTMk6rTkU")</f>
        <v/>
      </c>
      <c r="B14" s="13">
        <f>IFERROR(__xludf.DUMMYFUNCTION("""COMPUTED_VALUE"""),"7.  ¿Cómo tramitar tu CUD?")</f>
        <v/>
      </c>
      <c r="C14" s="13">
        <f>IFERROR(__xludf.DUMMYFUNCTION("""COMPUTED_VALUE"""),90.0)</f>
        <v/>
      </c>
      <c r="D14" s="13">
        <f>IFERROR(__xludf.DUMMYFUNCTION("""COMPUTED_VALUE"""),"Guía de Información 2018/2019 | Certificado Único de Discapacidad - CUD")</f>
        <v/>
      </c>
      <c r="E14" s="13">
        <f>IFERROR(__xludf.DUMMYFUNCTION("""COMPUTED_VALUE"""),"CUD")</f>
        <v/>
      </c>
      <c r="F14" s="13">
        <f>IFERROR(__xludf.DUMMYFUNCTION("""COMPUTED_VALUE"""),"DSC_0740 CUD tramite1si.MOV")</f>
        <v/>
      </c>
      <c r="G14" s="13">
        <f>IFERROR(__xludf.DUMMYFUNCTION("""COMPUTED_VALUE"""),93.09)</f>
        <v/>
      </c>
      <c r="H14" s="13">
        <f>IFERROR(__xludf.DUMMYFUNCTION("""COMPUTED_VALUE"""),"CUD")</f>
        <v/>
      </c>
      <c r="I14" s="13">
        <f>IFERROR(__xludf.DUMMYFUNCTION("""COMPUTED_VALUE"""),FALSE)</f>
        <v/>
      </c>
      <c r="J14" s="13">
        <f>IFERROR(__xludf.DUMMYFUNCTION("""COMPUTED_VALUE"""),0.967)</f>
        <v/>
      </c>
      <c r="K14" s="13">
        <f>IFERROR(__xludf.DUMMYFUNCTION("""COMPUTED_VALUE"""),0.0)</f>
        <v/>
      </c>
      <c r="L14" s="13">
        <f>IFERROR(__xludf.DUMMYFUNCTION("""COMPUTED_VALUE"""),0.438)</f>
        <v/>
      </c>
      <c r="M14" s="13">
        <f>IFERROR(__xludf.DUMMYFUNCTION("""COMPUTED_VALUE"""),"OK")</f>
        <v/>
      </c>
    </row>
    <row r="15">
      <c r="A15" s="13">
        <f>IFERROR(__xludf.DUMMYFUNCTION("""COMPUTED_VALUE"""),"6lWq6bCXwTY")</f>
        <v/>
      </c>
      <c r="B15" s="13">
        <f>IFERROR(__xludf.DUMMYFUNCTION("""COMPUTED_VALUE"""),"8. ¿Que podes hacer si perdiste o te robaron el CUD?")</f>
        <v/>
      </c>
      <c r="C15" s="13">
        <f>IFERROR(__xludf.DUMMYFUNCTION("""COMPUTED_VALUE"""),58.0)</f>
        <v/>
      </c>
      <c r="D15" s="13">
        <f>IFERROR(__xludf.DUMMYFUNCTION("""COMPUTED_VALUE"""),"Guía de Información 2018/2019 | Certificado Único de Discapacidad - CUD")</f>
        <v/>
      </c>
      <c r="E15" s="13">
        <f>IFERROR(__xludf.DUMMYFUNCTION("""COMPUTED_VALUE"""),"CUD")</f>
        <v/>
      </c>
      <c r="F15" s="13">
        <f>IFERROR(__xludf.DUMMYFUNCTION("""COMPUTED_VALUE"""),"DSC_0746 CUD pierde si.MOV")</f>
        <v/>
      </c>
      <c r="G15" s="13">
        <f>IFERROR(__xludf.DUMMYFUNCTION("""COMPUTED_VALUE"""),60.76)</f>
        <v/>
      </c>
      <c r="H15" s="13">
        <f>IFERROR(__xludf.DUMMYFUNCTION("""COMPUTED_VALUE"""),"CUD")</f>
        <v/>
      </c>
      <c r="I15" s="13">
        <f>IFERROR(__xludf.DUMMYFUNCTION("""COMPUTED_VALUE"""),FALSE)</f>
        <v/>
      </c>
      <c r="J15" s="13">
        <f>IFERROR(__xludf.DUMMYFUNCTION("""COMPUTED_VALUE"""),0.964)</f>
        <v/>
      </c>
      <c r="K15" s="13">
        <f>IFERROR(__xludf.DUMMYFUNCTION("""COMPUTED_VALUE"""),0.0)</f>
        <v/>
      </c>
      <c r="L15" s="13">
        <f>IFERROR(__xludf.DUMMYFUNCTION("""COMPUTED_VALUE"""),0.337)</f>
        <v/>
      </c>
      <c r="M15" s="13">
        <f>IFERROR(__xludf.DUMMYFUNCTION("""COMPUTED_VALUE"""),"OK")</f>
        <v/>
      </c>
    </row>
    <row r="16">
      <c r="A16" s="13">
        <f>IFERROR(__xludf.DUMMYFUNCTION("""COMPUTED_VALUE"""),"wSd8jKV42Y8")</f>
        <v/>
      </c>
      <c r="B16" s="13">
        <f>IFERROR(__xludf.DUMMYFUNCTION("""COMPUTED_VALUE"""),"1. Apoyos Educación")</f>
        <v/>
      </c>
      <c r="C16" s="13">
        <f>IFERROR(__xludf.DUMMYFUNCTION("""COMPUTED_VALUE"""),40.0)</f>
        <v/>
      </c>
      <c r="D16" s="13">
        <f>IFERROR(__xludf.DUMMYFUNCTION("""COMPUTED_VALUE"""),"Guía de Información 2018/2019 | Educación")</f>
        <v/>
      </c>
      <c r="E16" s="13">
        <f>IFERROR(__xludf.DUMMYFUNCTION("""COMPUTED_VALUE"""),"Educacion")</f>
        <v/>
      </c>
      <c r="F16" s="13">
        <f>IFERROR(__xludf.DUMMYFUNCTION("""COMPUTED_VALUE"""),"DSC_0862 p. 85 apoyos copidis educacion.MOV")</f>
        <v/>
      </c>
      <c r="G16" s="13">
        <f>IFERROR(__xludf.DUMMYFUNCTION("""COMPUTED_VALUE"""),50.65)</f>
        <v/>
      </c>
      <c r="H16" s="13">
        <f>IFERROR(__xludf.DUMMYFUNCTION("""COMPUTED_VALUE"""),"Educacion")</f>
        <v/>
      </c>
      <c r="I16" s="13">
        <f>IFERROR(__xludf.DUMMYFUNCTION("""COMPUTED_VALUE"""),TRUE)</f>
        <v/>
      </c>
      <c r="J16" s="13">
        <f>IFERROR(__xludf.DUMMYFUNCTION("""COMPUTED_VALUE"""),0.79)</f>
        <v/>
      </c>
      <c r="K16" s="13">
        <f>IFERROR(__xludf.DUMMYFUNCTION("""COMPUTED_VALUE"""),0.179)</f>
        <v/>
      </c>
      <c r="L16" s="13">
        <f>IFERROR(__xludf.DUMMYFUNCTION("""COMPUTED_VALUE"""),0.475)</f>
        <v/>
      </c>
      <c r="M16" s="13">
        <f>IFERROR(__xludf.DUMMYFUNCTION("""COMPUTED_VALUE"""),"OK")</f>
        <v/>
      </c>
    </row>
    <row r="17">
      <c r="A17" s="13">
        <f>IFERROR(__xludf.DUMMYFUNCTION("""COMPUTED_VALUE"""),"S2KHEqDAia0")</f>
        <v/>
      </c>
      <c r="B17" s="13">
        <f>IFERROR(__xludf.DUMMYFUNCTION("""COMPUTED_VALUE"""),"2. Materia didáctico Braille ↓")</f>
        <v/>
      </c>
      <c r="C17" s="13">
        <f>IFERROR(__xludf.DUMMYFUNCTION("""COMPUTED_VALUE"""),46.0)</f>
        <v/>
      </c>
      <c r="D17" s="13">
        <f>IFERROR(__xludf.DUMMYFUNCTION("""COMPUTED_VALUE"""),"Guía de Información 2018/2019 | Educación")</f>
        <v/>
      </c>
      <c r="E17" s="13">
        <f>IFERROR(__xludf.DUMMYFUNCTION("""COMPUTED_VALUE"""),"Educacion")</f>
        <v/>
      </c>
      <c r="F17" s="13">
        <f>IFERROR(__xludf.DUMMYFUNCTION("""COMPUTED_VALUE"""),"DSC_0866 p.85 libros escolares accesibles.MOV")</f>
        <v/>
      </c>
      <c r="G17" s="13">
        <f>IFERROR(__xludf.DUMMYFUNCTION("""COMPUTED_VALUE"""),48.15)</f>
        <v/>
      </c>
      <c r="H17" s="13">
        <f>IFERROR(__xludf.DUMMYFUNCTION("""COMPUTED_VALUE"""),"Educacion")</f>
        <v/>
      </c>
      <c r="I17" s="13">
        <f>IFERROR(__xludf.DUMMYFUNCTION("""COMPUTED_VALUE"""),TRUE)</f>
        <v/>
      </c>
      <c r="J17" s="13">
        <f>IFERROR(__xludf.DUMMYFUNCTION("""COMPUTED_VALUE"""),0.955)</f>
        <v/>
      </c>
      <c r="K17" s="13">
        <f>IFERROR(__xludf.DUMMYFUNCTION("""COMPUTED_VALUE"""),0.208)</f>
        <v/>
      </c>
      <c r="L17" s="13">
        <f>IFERROR(__xludf.DUMMYFUNCTION("""COMPUTED_VALUE"""),0.549)</f>
        <v/>
      </c>
      <c r="M17" s="13">
        <f>IFERROR(__xludf.DUMMYFUNCTION("""COMPUTED_VALUE"""),"OK")</f>
        <v/>
      </c>
    </row>
    <row r="18">
      <c r="A18" s="13">
        <f>IFERROR(__xludf.DUMMYFUNCTION("""COMPUTED_VALUE"""),"Psy8y4VfJ2s")</f>
        <v/>
      </c>
      <c r="B18" s="13">
        <f>IFERROR(__xludf.DUMMYFUNCTION("""COMPUTED_VALUE"""),"3. Registro Acompañantes No Docentes APND")</f>
        <v/>
      </c>
      <c r="C18" s="13">
        <f>IFERROR(__xludf.DUMMYFUNCTION("""COMPUTED_VALUE"""),57.0)</f>
        <v/>
      </c>
      <c r="D18" s="13">
        <f>IFERROR(__xludf.DUMMYFUNCTION("""COMPUTED_VALUE"""),"Guía de Información 2018/2019 | Educación")</f>
        <v/>
      </c>
      <c r="E18" s="13">
        <f>IFERROR(__xludf.DUMMYFUNCTION("""COMPUTED_VALUE"""),"Educacion")</f>
        <v/>
      </c>
      <c r="F18" s="13">
        <f>IFERROR(__xludf.DUMMYFUNCTION("""COMPUTED_VALUE"""),"DSC_0871 p.86 registro docentes apoyo.MOV")</f>
        <v/>
      </c>
      <c r="G18" s="13">
        <f>IFERROR(__xludf.DUMMYFUNCTION("""COMPUTED_VALUE"""),67.67)</f>
        <v/>
      </c>
      <c r="H18" s="13">
        <f>IFERROR(__xludf.DUMMYFUNCTION("""COMPUTED_VALUE"""),"Educacion")</f>
        <v/>
      </c>
      <c r="I18" s="13">
        <f>IFERROR(__xludf.DUMMYFUNCTION("""COMPUTED_VALUE"""),TRUE)</f>
        <v/>
      </c>
      <c r="J18" s="13">
        <f>IFERROR(__xludf.DUMMYFUNCTION("""COMPUTED_VALUE"""),0.975)</f>
        <v/>
      </c>
      <c r="K18" s="13">
        <f>IFERROR(__xludf.DUMMYFUNCTION("""COMPUTED_VALUE"""),0.0)</f>
        <v/>
      </c>
      <c r="L18" s="13">
        <f>IFERROR(__xludf.DUMMYFUNCTION("""COMPUTED_VALUE"""),0.341)</f>
        <v/>
      </c>
      <c r="M18" s="13">
        <f>IFERROR(__xludf.DUMMYFUNCTION("""COMPUTED_VALUE"""),"OK")</f>
        <v/>
      </c>
    </row>
    <row r="19">
      <c r="A19" s="13">
        <f>IFERROR(__xludf.DUMMYFUNCTION("""COMPUTED_VALUE"""),"5J9xY8gOdUY")</f>
        <v/>
      </c>
      <c r="B19" s="13">
        <f>IFERROR(__xludf.DUMMYFUNCTION("""COMPUTED_VALUE"""),"4. Apoyos Ministerio de Educación")</f>
        <v/>
      </c>
      <c r="C19" s="13">
        <f>IFERROR(__xludf.DUMMYFUNCTION("""COMPUTED_VALUE"""),37.0)</f>
        <v/>
      </c>
      <c r="D19" s="13">
        <f>IFERROR(__xludf.DUMMYFUNCTION("""COMPUTED_VALUE"""),"Guía de Información 2018/2019 | Educación")</f>
        <v/>
      </c>
      <c r="E19" s="13">
        <f>IFERROR(__xludf.DUMMYFUNCTION("""COMPUTED_VALUE"""),"Educacion")</f>
        <v/>
      </c>
      <c r="F19" s="13">
        <f>IFERROR(__xludf.DUMMYFUNCTION("""COMPUTED_VALUE"""),"DSC_0873 p.87 que apoyos te da el Ministerio de Educacion.MOV")</f>
        <v/>
      </c>
      <c r="G19" s="13">
        <f>IFERROR(__xludf.DUMMYFUNCTION("""COMPUTED_VALUE"""),40.14)</f>
        <v/>
      </c>
      <c r="H19" s="13">
        <f>IFERROR(__xludf.DUMMYFUNCTION("""COMPUTED_VALUE"""),"Educacion")</f>
        <v/>
      </c>
      <c r="I19" s="13">
        <f>IFERROR(__xludf.DUMMYFUNCTION("""COMPUTED_VALUE"""),TRUE)</f>
        <v/>
      </c>
      <c r="J19" s="13">
        <f>IFERROR(__xludf.DUMMYFUNCTION("""COMPUTED_VALUE"""),0.922)</f>
        <v/>
      </c>
      <c r="K19" s="13">
        <f>IFERROR(__xludf.DUMMYFUNCTION("""COMPUTED_VALUE"""),0.136)</f>
        <v/>
      </c>
      <c r="L19" s="13">
        <f>IFERROR(__xludf.DUMMYFUNCTION("""COMPUTED_VALUE"""),0.497)</f>
        <v/>
      </c>
      <c r="M19" s="13">
        <f>IFERROR(__xludf.DUMMYFUNCTION("""COMPUTED_VALUE"""),"OK")</f>
        <v/>
      </c>
    </row>
    <row r="20">
      <c r="A20" s="13">
        <f>IFERROR(__xludf.DUMMYFUNCTION("""COMPUTED_VALUE"""),"ihpijvrFcbY")</f>
        <v/>
      </c>
      <c r="B20" s="13">
        <f>IFERROR(__xludf.DUMMYFUNCTION("""COMPUTED_VALUE"""),"5. Centros educativos de atención y prevención de primera infancia - CEPAPI ↓")</f>
        <v/>
      </c>
      <c r="C20" s="13">
        <f>IFERROR(__xludf.DUMMYFUNCTION("""COMPUTED_VALUE"""),37.0)</f>
        <v/>
      </c>
      <c r="D20" s="13">
        <f>IFERROR(__xludf.DUMMYFUNCTION("""COMPUTED_VALUE"""),"Guía de Información 2018/2019 | Educación")</f>
        <v/>
      </c>
      <c r="E20" s="13">
        <f>IFERROR(__xludf.DUMMYFUNCTION("""COMPUTED_VALUE"""),"Educacion")</f>
        <v/>
      </c>
      <c r="F20" s="13">
        <f>IFERROR(__xludf.DUMMYFUNCTION("""COMPUTED_VALUE"""),"DSC_0875 p.92 cepapi _ rehacer.MOV")</f>
        <v/>
      </c>
      <c r="G20" s="13">
        <f>IFERROR(__xludf.DUMMYFUNCTION("""COMPUTED_VALUE"""),41.34)</f>
        <v/>
      </c>
      <c r="H20" s="13">
        <f>IFERROR(__xludf.DUMMYFUNCTION("""COMPUTED_VALUE"""),"Educacion")</f>
        <v/>
      </c>
      <c r="I20" s="13">
        <f>IFERROR(__xludf.DUMMYFUNCTION("""COMPUTED_VALUE"""),FALSE)</f>
        <v/>
      </c>
      <c r="J20" s="13">
        <f>IFERROR(__xludf.DUMMYFUNCTION("""COMPUTED_VALUE"""),0.895)</f>
        <v/>
      </c>
      <c r="K20" s="13">
        <f>IFERROR(__xludf.DUMMYFUNCTION("""COMPUTED_VALUE"""),0.0)</f>
        <v/>
      </c>
      <c r="L20" s="13">
        <f>IFERROR(__xludf.DUMMYFUNCTION("""COMPUTED_VALUE"""),0.413)</f>
        <v/>
      </c>
      <c r="M20" s="13">
        <f>IFERROR(__xludf.DUMMYFUNCTION("""COMPUTED_VALUE"""),"OK")</f>
        <v/>
      </c>
    </row>
    <row r="21">
      <c r="A21" s="13">
        <f>IFERROR(__xludf.DUMMYFUNCTION("""COMPUTED_VALUE"""),"QlS5zsPqw3k")</f>
        <v/>
      </c>
      <c r="B21" s="13">
        <f>IFERROR(__xludf.DUMMYFUNCTION("""COMPUTED_VALUE"""),"6. Escuela hospitalaria o domiciliaria")</f>
        <v/>
      </c>
      <c r="C21" s="13">
        <f>IFERROR(__xludf.DUMMYFUNCTION("""COMPUTED_VALUE"""),27.0)</f>
        <v/>
      </c>
      <c r="D21" s="13">
        <f>IFERROR(__xludf.DUMMYFUNCTION("""COMPUTED_VALUE"""),"Guía de Información 2018/2019 | Educación")</f>
        <v/>
      </c>
      <c r="E21" s="13">
        <f>IFERROR(__xludf.DUMMYFUNCTION("""COMPUTED_VALUE"""),"Educacion")</f>
        <v/>
      </c>
      <c r="F21" s="13">
        <f>IFERROR(__xludf.DUMMYFUNCTION("""COMPUTED_VALUE"""),"DSC_0878 p. 95 escuelas hospitalarias.MOV")</f>
        <v/>
      </c>
      <c r="G21" s="13">
        <f>IFERROR(__xludf.DUMMYFUNCTION("""COMPUTED_VALUE"""),30.63)</f>
        <v/>
      </c>
      <c r="H21" s="13">
        <f>IFERROR(__xludf.DUMMYFUNCTION("""COMPUTED_VALUE"""),"Educacion")</f>
        <v/>
      </c>
      <c r="I21" s="13">
        <f>IFERROR(__xludf.DUMMYFUNCTION("""COMPUTED_VALUE"""),TRUE)</f>
        <v/>
      </c>
      <c r="J21" s="13">
        <f>IFERROR(__xludf.DUMMYFUNCTION("""COMPUTED_VALUE"""),0.947)</f>
        <v/>
      </c>
      <c r="K21" s="13">
        <f>IFERROR(__xludf.DUMMYFUNCTION("""COMPUTED_VALUE"""),0.013)</f>
        <v/>
      </c>
      <c r="L21" s="13">
        <f>IFERROR(__xludf.DUMMYFUNCTION("""COMPUTED_VALUE"""),0.439)</f>
        <v/>
      </c>
      <c r="M21" s="13">
        <f>IFERROR(__xludf.DUMMYFUNCTION("""COMPUTED_VALUE"""),"OK")</f>
        <v/>
      </c>
    </row>
    <row r="22">
      <c r="A22" s="13">
        <f>IFERROR(__xludf.DUMMYFUNCTION("""COMPUTED_VALUE"""),"Wns-CUyyQL0")</f>
        <v/>
      </c>
      <c r="B22" s="13">
        <f>IFERROR(__xludf.DUMMYFUNCTION("""COMPUTED_VALUE"""),"7. Materiales didácticos")</f>
        <v/>
      </c>
      <c r="C22" s="13">
        <f>IFERROR(__xludf.DUMMYFUNCTION("""COMPUTED_VALUE"""),29.0)</f>
        <v/>
      </c>
      <c r="D22" s="13">
        <f>IFERROR(__xludf.DUMMYFUNCTION("""COMPUTED_VALUE"""),"Guía de Información 2018/2019 | Educación")</f>
        <v/>
      </c>
      <c r="E22" s="13">
        <f>IFERROR(__xludf.DUMMYFUNCTION("""COMPUTED_VALUE"""),"Educacion")</f>
        <v/>
      </c>
      <c r="F22" s="13">
        <f>IFERROR(__xludf.DUMMYFUNCTION("""COMPUTED_VALUE"""),"DSC_0881 p.96 material en braille.MOV")</f>
        <v/>
      </c>
      <c r="G22" s="13">
        <f>IFERROR(__xludf.DUMMYFUNCTION("""COMPUTED_VALUE"""),47.55)</f>
        <v/>
      </c>
      <c r="H22" s="13">
        <f>IFERROR(__xludf.DUMMYFUNCTION("""COMPUTED_VALUE"""),"Educacion")</f>
        <v/>
      </c>
      <c r="I22" s="13">
        <f>IFERROR(__xludf.DUMMYFUNCTION("""COMPUTED_VALUE"""),TRUE)</f>
        <v/>
      </c>
      <c r="J22" s="13">
        <f>IFERROR(__xludf.DUMMYFUNCTION("""COMPUTED_VALUE"""),0.834)</f>
        <v/>
      </c>
      <c r="K22" s="13">
        <f>IFERROR(__xludf.DUMMYFUNCTION("""COMPUTED_VALUE"""),0.0)</f>
        <v/>
      </c>
      <c r="L22" s="13">
        <f>IFERROR(__xludf.DUMMYFUNCTION("""COMPUTED_VALUE"""),0.392)</f>
        <v/>
      </c>
      <c r="M22" s="13">
        <f>IFERROR(__xludf.DUMMYFUNCTION("""COMPUTED_VALUE"""),"OK")</f>
        <v/>
      </c>
    </row>
    <row r="23">
      <c r="A23" s="13">
        <f>IFERROR(__xludf.DUMMYFUNCTION("""COMPUTED_VALUE"""),"bw6hm44CRQk")</f>
        <v/>
      </c>
      <c r="B23" s="13">
        <f>IFERROR(__xludf.DUMMYFUNCTION("""COMPUTED_VALUE"""),"1.  Prestaciones básicas de salud")</f>
        <v/>
      </c>
      <c r="C23" s="13">
        <f>IFERROR(__xludf.DUMMYFUNCTION("""COMPUTED_VALUE"""),15.0)</f>
        <v/>
      </c>
      <c r="D23" s="13">
        <f>IFERROR(__xludf.DUMMYFUNCTION("""COMPUTED_VALUE"""),"Guía de Información 2018/2019 | Salud")</f>
        <v/>
      </c>
      <c r="E23" s="13">
        <f>IFERROR(__xludf.DUMMYFUNCTION("""COMPUTED_VALUE"""),"Salud")</f>
        <v/>
      </c>
      <c r="F23" s="13">
        <f>IFERROR(__xludf.DUMMYFUNCTION("""COMPUTED_VALUE"""),"DSC_0726 salud2 si.MOV")</f>
        <v/>
      </c>
      <c r="G23" s="13">
        <f>IFERROR(__xludf.DUMMYFUNCTION("""COMPUTED_VALUE"""),20.12)</f>
        <v/>
      </c>
      <c r="H23" s="13">
        <f>IFERROR(__xludf.DUMMYFUNCTION("""COMPUTED_VALUE"""),"Salud")</f>
        <v/>
      </c>
      <c r="I23" s="13">
        <f>IFERROR(__xludf.DUMMYFUNCTION("""COMPUTED_VALUE"""),FALSE)</f>
        <v/>
      </c>
      <c r="J23" s="13">
        <f>IFERROR(__xludf.DUMMYFUNCTION("""COMPUTED_VALUE"""),0.875)</f>
        <v/>
      </c>
      <c r="K23" s="13">
        <f>IFERROR(__xludf.DUMMYFUNCTION("""COMPUTED_VALUE"""),0.0)</f>
        <v/>
      </c>
      <c r="L23" s="13">
        <f>IFERROR(__xludf.DUMMYFUNCTION("""COMPUTED_VALUE"""),0.406)</f>
        <v/>
      </c>
      <c r="M23" s="13">
        <f>IFERROR(__xludf.DUMMYFUNCTION("""COMPUTED_VALUE"""),"OK")</f>
        <v/>
      </c>
    </row>
    <row r="24">
      <c r="A24" s="13">
        <f>IFERROR(__xludf.DUMMYFUNCTION("""COMPUTED_VALUE"""),"Vil9KHTo8p8")</f>
        <v/>
      </c>
      <c r="B24" s="13">
        <f>IFERROR(__xludf.DUMMYFUNCTION("""COMPUTED_VALUE"""),"2.  Qué son las prestaciones básicas de salud")</f>
        <v/>
      </c>
      <c r="C24" s="13">
        <f>IFERROR(__xludf.DUMMYFUNCTION("""COMPUTED_VALUE"""),32.0)</f>
        <v/>
      </c>
      <c r="D24" s="13">
        <f>IFERROR(__xludf.DUMMYFUNCTION("""COMPUTED_VALUE"""),"Guía de Información 2018/2019 | Salud")</f>
        <v/>
      </c>
      <c r="E24" s="13">
        <f>IFERROR(__xludf.DUMMYFUNCTION("""COMPUTED_VALUE"""),"Salud")</f>
        <v/>
      </c>
      <c r="F24" s="13">
        <f>IFERROR(__xludf.DUMMYFUNCTION("""COMPUTED_VALUE"""),"DSC_0789 Serv Salud basico si.MOV")</f>
        <v/>
      </c>
      <c r="G24" s="13">
        <f>IFERROR(__xludf.DUMMYFUNCTION("""COMPUTED_VALUE"""),33.13)</f>
        <v/>
      </c>
      <c r="H24" s="13">
        <f>IFERROR(__xludf.DUMMYFUNCTION("""COMPUTED_VALUE"""),"Salud")</f>
        <v/>
      </c>
      <c r="I24" s="13">
        <f>IFERROR(__xludf.DUMMYFUNCTION("""COMPUTED_VALUE"""),FALSE)</f>
        <v/>
      </c>
      <c r="J24" s="13">
        <f>IFERROR(__xludf.DUMMYFUNCTION("""COMPUTED_VALUE"""),0.974)</f>
        <v/>
      </c>
      <c r="K24" s="13">
        <f>IFERROR(__xludf.DUMMYFUNCTION("""COMPUTED_VALUE"""),0.016)</f>
        <v/>
      </c>
      <c r="L24" s="13">
        <f>IFERROR(__xludf.DUMMYFUNCTION("""COMPUTED_VALUE"""),0.45)</f>
        <v/>
      </c>
      <c r="M24" s="13">
        <f>IFERROR(__xludf.DUMMYFUNCTION("""COMPUTED_VALUE"""),"OK")</f>
        <v/>
      </c>
    </row>
    <row r="25">
      <c r="A25" s="13">
        <f>IFERROR(__xludf.DUMMYFUNCTION("""COMPUTED_VALUE"""),"jomsMKgYkyQ")</f>
        <v/>
      </c>
      <c r="B25" s="13">
        <f>IFERROR(__xludf.DUMMYFUNCTION("""COMPUTED_VALUE"""),"3.  Pedir prestaciones básicas de salud")</f>
        <v/>
      </c>
      <c r="C25" s="13">
        <f>IFERROR(__xludf.DUMMYFUNCTION("""COMPUTED_VALUE"""),37.0)</f>
        <v/>
      </c>
      <c r="D25" s="13">
        <f>IFERROR(__xludf.DUMMYFUNCTION("""COMPUTED_VALUE"""),"Guía de Información 2018/2019 | Salud")</f>
        <v/>
      </c>
      <c r="E25" s="13">
        <f>IFERROR(__xludf.DUMMYFUNCTION("""COMPUTED_VALUE"""),"Salud")</f>
        <v/>
      </c>
      <c r="F25" s="13">
        <f>IFERROR(__xludf.DUMMYFUNCTION("""COMPUTED_VALUE"""),"DSC_0792 Serv Salud basico si")</f>
        <v/>
      </c>
      <c r="G25" s="13" t="n"/>
      <c r="H25" s="13">
        <f>IFERROR(__xludf.DUMMYFUNCTION("""COMPUTED_VALUE"""),"Salud")</f>
        <v/>
      </c>
      <c r="I25" s="13" t="n"/>
      <c r="J25" s="13" t="n"/>
      <c r="K25" s="13" t="n"/>
      <c r="L25" s="13" t="n"/>
      <c r="M25" s="13">
        <f>IFERROR(__xludf.DUMMYFUNCTION("""COMPUTED_VALUE"""),"OK")</f>
        <v/>
      </c>
    </row>
    <row r="26">
      <c r="A26" s="13">
        <f>IFERROR(__xludf.DUMMYFUNCTION("""COMPUTED_VALUE"""),"AU3OdF0iNv0")</f>
        <v/>
      </c>
      <c r="B26" s="13">
        <f>IFERROR(__xludf.DUMMYFUNCTION("""COMPUTED_VALUE"""),"5. Cobertura Porteña Salud")</f>
        <v/>
      </c>
      <c r="C26" s="13">
        <f>IFERROR(__xludf.DUMMYFUNCTION("""COMPUTED_VALUE"""),34.0)</f>
        <v/>
      </c>
      <c r="D26" s="13">
        <f>IFERROR(__xludf.DUMMYFUNCTION("""COMPUTED_VALUE"""),"Guía de Información 2018/2019 | Salud")</f>
        <v/>
      </c>
      <c r="E26" s="13">
        <f>IFERROR(__xludf.DUMMYFUNCTION("""COMPUTED_VALUE"""),"Salud")</f>
        <v/>
      </c>
      <c r="F26" s="13">
        <f>IFERROR(__xludf.DUMMYFUNCTION("""COMPUTED_VALUE"""),"DSC_0797 Plan Salud Ciudad si.MOV")</f>
        <v/>
      </c>
      <c r="G26" s="13">
        <f>IFERROR(__xludf.DUMMYFUNCTION("""COMPUTED_VALUE"""),38.14)</f>
        <v/>
      </c>
      <c r="H26" s="13">
        <f>IFERROR(__xludf.DUMMYFUNCTION("""COMPUTED_VALUE"""),"Salud")</f>
        <v/>
      </c>
      <c r="I26" s="13">
        <f>IFERROR(__xludf.DUMMYFUNCTION("""COMPUTED_VALUE"""),TRUE)</f>
        <v/>
      </c>
      <c r="J26" s="13">
        <f>IFERROR(__xludf.DUMMYFUNCTION("""COMPUTED_VALUE"""),0.97)</f>
        <v/>
      </c>
      <c r="K26" s="13">
        <f>IFERROR(__xludf.DUMMYFUNCTION("""COMPUTED_VALUE"""),0.008)</f>
        <v/>
      </c>
      <c r="L26" s="13">
        <f>IFERROR(__xludf.DUMMYFUNCTION("""COMPUTED_VALUE"""),0.444)</f>
        <v/>
      </c>
      <c r="M26" s="13">
        <f>IFERROR(__xludf.DUMMYFUNCTION("""COMPUTED_VALUE"""),"OK")</f>
        <v/>
      </c>
    </row>
    <row r="27">
      <c r="A27" s="13">
        <f>IFERROR(__xludf.DUMMYFUNCTION("""COMPUTED_VALUE"""),"XxDsNzglSzU")</f>
        <v/>
      </c>
      <c r="B27" s="13">
        <f>IFERROR(__xludf.DUMMYFUNCTION("""COMPUTED_VALUE"""),"6.  Incluir Salud")</f>
        <v/>
      </c>
      <c r="C27" s="13">
        <f>IFERROR(__xludf.DUMMYFUNCTION("""COMPUTED_VALUE"""),23.0)</f>
        <v/>
      </c>
      <c r="D27" s="13">
        <f>IFERROR(__xludf.DUMMYFUNCTION("""COMPUTED_VALUE"""),"Guía de Información 2018/2019 | Salud")</f>
        <v/>
      </c>
      <c r="E27" s="13">
        <f>IFERROR(__xludf.DUMMYFUNCTION("""COMPUTED_VALUE"""),"Salud")</f>
        <v/>
      </c>
      <c r="F27" s="13">
        <f>IFERROR(__xludf.DUMMYFUNCTION("""COMPUTED_VALUE"""),"DSC_0798 Incluir Salud que es si.MOV")</f>
        <v/>
      </c>
      <c r="G27" s="13">
        <f>IFERROR(__xludf.DUMMYFUNCTION("""COMPUTED_VALUE"""),36.34)</f>
        <v/>
      </c>
      <c r="H27" s="13">
        <f>IFERROR(__xludf.DUMMYFUNCTION("""COMPUTED_VALUE"""),"Salud")</f>
        <v/>
      </c>
      <c r="I27" s="13">
        <f>IFERROR(__xludf.DUMMYFUNCTION("""COMPUTED_VALUE"""),TRUE)</f>
        <v/>
      </c>
      <c r="J27" s="13">
        <f>IFERROR(__xludf.DUMMYFUNCTION("""COMPUTED_VALUE"""),0.881)</f>
        <v/>
      </c>
      <c r="K27" s="13">
        <f>IFERROR(__xludf.DUMMYFUNCTION("""COMPUTED_VALUE"""),0.101)</f>
        <v/>
      </c>
      <c r="L27" s="13">
        <f>IFERROR(__xludf.DUMMYFUNCTION("""COMPUTED_VALUE"""),0.464)</f>
        <v/>
      </c>
      <c r="M27" s="13">
        <f>IFERROR(__xludf.DUMMYFUNCTION("""COMPUTED_VALUE"""),"OK")</f>
        <v/>
      </c>
    </row>
    <row r="28">
      <c r="A28" s="13">
        <f>IFERROR(__xludf.DUMMYFUNCTION("""COMPUTED_VALUE"""),"jcWSZirq1ho")</f>
        <v/>
      </c>
      <c r="B28" s="13">
        <f>IFERROR(__xludf.DUMMYFUNCTION("""COMPUTED_VALUE"""),"7.  Afiliarse a Incluir Salud")</f>
        <v/>
      </c>
      <c r="C28" s="13">
        <f>IFERROR(__xludf.DUMMYFUNCTION("""COMPUTED_VALUE"""),49.0)</f>
        <v/>
      </c>
      <c r="D28" s="13">
        <f>IFERROR(__xludf.DUMMYFUNCTION("""COMPUTED_VALUE"""),"Guía de Información 2018/2019 | Salud")</f>
        <v/>
      </c>
      <c r="E28" s="13">
        <f>IFERROR(__xludf.DUMMYFUNCTION("""COMPUTED_VALUE"""),"Salud")</f>
        <v/>
      </c>
      <c r="F28" s="13">
        <f>IFERROR(__xludf.DUMMYFUNCTION("""COMPUTED_VALUE"""),"DSC_0799 Incluir Salud tramite si.MOV")</f>
        <v/>
      </c>
      <c r="G28" s="13">
        <f>IFERROR(__xludf.DUMMYFUNCTION("""COMPUTED_VALUE"""),51.85)</f>
        <v/>
      </c>
      <c r="H28" s="13">
        <f>IFERROR(__xludf.DUMMYFUNCTION("""COMPUTED_VALUE"""),"CUD")</f>
        <v/>
      </c>
      <c r="I28" s="13">
        <f>IFERROR(__xludf.DUMMYFUNCTION("""COMPUTED_VALUE"""),TRUE)</f>
        <v/>
      </c>
      <c r="J28" s="13">
        <f>IFERROR(__xludf.DUMMYFUNCTION("""COMPUTED_VALUE"""),0.945)</f>
        <v/>
      </c>
      <c r="K28" s="13">
        <f>IFERROR(__xludf.DUMMYFUNCTION("""COMPUTED_VALUE"""),0.189)</f>
        <v/>
      </c>
      <c r="L28" s="13">
        <f>IFERROR(__xludf.DUMMYFUNCTION("""COMPUTED_VALUE"""),0.435)</f>
        <v/>
      </c>
      <c r="M28" s="13">
        <f>IFERROR(__xludf.DUMMYFUNCTION("""COMPUTED_VALUE"""),"OK")</f>
        <v/>
      </c>
    </row>
    <row r="29">
      <c r="A29" s="13">
        <f>IFERROR(__xludf.DUMMYFUNCTION("""COMPUTED_VALUE"""),"u07hL-EzTpY")</f>
        <v/>
      </c>
      <c r="B29" s="13">
        <f>IFERROR(__xludf.DUMMYFUNCTION("""COMPUTED_VALUE"""),"1. Programa Hogares")</f>
        <v/>
      </c>
      <c r="C29" s="13">
        <f>IFERROR(__xludf.DUMMYFUNCTION("""COMPUTED_VALUE"""),52.0)</f>
        <v/>
      </c>
      <c r="D29" s="13">
        <f>IFERROR(__xludf.DUMMYFUNCTION("""COMPUTED_VALUE"""),"Guia de Información 2018/2019 | Servicios Sociales Zonales")</f>
        <v/>
      </c>
      <c r="E29" s="13">
        <f>IFERROR(__xludf.DUMMYFUNCTION("""COMPUTED_VALUE"""),"SSZonales")</f>
        <v/>
      </c>
      <c r="F29" s="13">
        <f>IFERROR(__xludf.DUMMYFUNCTION("""COMPUTED_VALUE"""),"DSC_0851 p.73.MOV")</f>
        <v/>
      </c>
      <c r="G29" s="13">
        <f>IFERROR(__xludf.DUMMYFUNCTION("""COMPUTED_VALUE"""),55.66)</f>
        <v/>
      </c>
      <c r="H29" s="13">
        <f>IFERROR(__xludf.DUMMYFUNCTION("""COMPUTED_VALUE"""),"Accesibilidad")</f>
        <v/>
      </c>
      <c r="I29" s="13">
        <f>IFERROR(__xludf.DUMMYFUNCTION("""COMPUTED_VALUE"""),TRUE)</f>
        <v/>
      </c>
      <c r="J29" s="13">
        <f>IFERROR(__xludf.DUMMYFUNCTION("""COMPUTED_VALUE"""),0.934)</f>
        <v/>
      </c>
      <c r="K29" s="13">
        <f>IFERROR(__xludf.DUMMYFUNCTION("""COMPUTED_VALUE"""),0.13)</f>
        <v/>
      </c>
      <c r="L29" s="13">
        <f>IFERROR(__xludf.DUMMYFUNCTION("""COMPUTED_VALUE"""),0.399)</f>
        <v/>
      </c>
      <c r="M29" s="13">
        <f>IFERROR(__xludf.DUMMYFUNCTION("""COMPUTED_VALUE"""),"OK")</f>
        <v/>
      </c>
    </row>
    <row r="30">
      <c r="A30" s="13">
        <f>IFERROR(__xludf.DUMMYFUNCTION("""COMPUTED_VALUE"""),"T_vgQJhMWf8")</f>
        <v/>
      </c>
      <c r="B30" s="13">
        <f>IFERROR(__xludf.DUMMYFUNCTION("""COMPUTED_VALUE"""),"2. Apoyos del Gobierno de la Nación")</f>
        <v/>
      </c>
      <c r="C30" s="13">
        <f>IFERROR(__xludf.DUMMYFUNCTION("""COMPUTED_VALUE"""),44.0)</f>
        <v/>
      </c>
      <c r="D30" s="13">
        <f>IFERROR(__xludf.DUMMYFUNCTION("""COMPUTED_VALUE"""),"Guia de Información 2018/2019 | Servicios Sociales Zonales")</f>
        <v/>
      </c>
      <c r="E30" s="13">
        <f>IFERROR(__xludf.DUMMYFUNCTION("""COMPUTED_VALUE"""),"SSZonales")</f>
        <v/>
      </c>
      <c r="F30" s="13">
        <f>IFERROR(__xludf.DUMMYFUNCTION("""COMPUTED_VALUE"""),"DSC_0856 p.74.MOV")</f>
        <v/>
      </c>
      <c r="G30" s="13">
        <f>IFERROR(__xludf.DUMMYFUNCTION("""COMPUTED_VALUE"""),51.25)</f>
        <v/>
      </c>
      <c r="H30" s="13">
        <f>IFERROR(__xludf.DUMMYFUNCTION("""COMPUTED_VALUE"""),"Accesibilidad")</f>
        <v/>
      </c>
      <c r="I30" s="13">
        <f>IFERROR(__xludf.DUMMYFUNCTION("""COMPUTED_VALUE"""),TRUE)</f>
        <v/>
      </c>
      <c r="J30" s="13">
        <f>IFERROR(__xludf.DUMMYFUNCTION("""COMPUTED_VALUE"""),0.859)</f>
        <v/>
      </c>
      <c r="K30" s="13">
        <f>IFERROR(__xludf.DUMMYFUNCTION("""COMPUTED_VALUE"""),0.108)</f>
        <v/>
      </c>
      <c r="L30" s="13">
        <f>IFERROR(__xludf.DUMMYFUNCTION("""COMPUTED_VALUE"""),0.36)</f>
        <v/>
      </c>
      <c r="M30" s="13">
        <f>IFERROR(__xludf.DUMMYFUNCTION("""COMPUTED_VALUE"""),"OK")</f>
        <v/>
      </c>
    </row>
    <row r="31">
      <c r="A31" s="13">
        <f>IFERROR(__xludf.DUMMYFUNCTION("""COMPUTED_VALUE"""),"2iYRa7hKg2g")</f>
        <v/>
      </c>
      <c r="B31" s="13">
        <f>IFERROR(__xludf.DUMMYFUNCTION("""COMPUTED_VALUE"""),"3. Pedir ayuda técnica")</f>
        <v/>
      </c>
      <c r="C31" s="13">
        <f>IFERROR(__xludf.DUMMYFUNCTION("""COMPUTED_VALUE"""),31.0)</f>
        <v/>
      </c>
      <c r="D31" s="13">
        <f>IFERROR(__xludf.DUMMYFUNCTION("""COMPUTED_VALUE"""),"Guia de Información 2018/2019 | Servicios Sociales Zonales")</f>
        <v/>
      </c>
      <c r="E31" s="13">
        <f>IFERROR(__xludf.DUMMYFUNCTION("""COMPUTED_VALUE"""),"SSZonales")</f>
        <v/>
      </c>
      <c r="F31" s="13">
        <f>IFERROR(__xludf.DUMMYFUNCTION("""COMPUTED_VALUE"""),"DSC_0858 p. 75 ayuda tecnica.MOV")</f>
        <v/>
      </c>
      <c r="G31" s="13">
        <f>IFERROR(__xludf.DUMMYFUNCTION("""COMPUTED_VALUE"""),45.05)</f>
        <v/>
      </c>
      <c r="H31" s="13">
        <f>IFERROR(__xludf.DUMMYFUNCTION("""COMPUTED_VALUE"""),"Accesibilidad")</f>
        <v/>
      </c>
      <c r="I31" s="13">
        <f>IFERROR(__xludf.DUMMYFUNCTION("""COMPUTED_VALUE"""),TRUE)</f>
        <v/>
      </c>
      <c r="J31" s="13">
        <f>IFERROR(__xludf.DUMMYFUNCTION("""COMPUTED_VALUE"""),0.688)</f>
        <v/>
      </c>
      <c r="K31" s="13">
        <f>IFERROR(__xludf.DUMMYFUNCTION("""COMPUTED_VALUE"""),0.231)</f>
        <v/>
      </c>
      <c r="L31" s="13">
        <f>IFERROR(__xludf.DUMMYFUNCTION("""COMPUTED_VALUE"""),0.368)</f>
        <v/>
      </c>
      <c r="M31" s="13">
        <f>IFERROR(__xludf.DUMMYFUNCTION("""COMPUTED_VALUE"""),"OK")</f>
        <v/>
      </c>
    </row>
    <row r="32">
      <c r="A32" s="13">
        <f>IFERROR(__xludf.DUMMYFUNCTION("""COMPUTED_VALUE"""),"KrAliLan0Gs")</f>
        <v/>
      </c>
      <c r="B32" s="13">
        <f>IFERROR(__xludf.DUMMYFUNCTION("""COMPUTED_VALUE"""),"1. Sistema previsional")</f>
        <v/>
      </c>
      <c r="C32" s="13">
        <f>IFERROR(__xludf.DUMMYFUNCTION("""COMPUTED_VALUE"""),50.0)</f>
        <v/>
      </c>
      <c r="D32" s="13">
        <f>IFERROR(__xludf.DUMMYFUNCTION("""COMPUTED_VALUE"""),"Guía de Información 2018/2019 | Sistema Previsional")</f>
        <v/>
      </c>
      <c r="E32" s="13">
        <f>IFERROR(__xludf.DUMMYFUNCTION("""COMPUTED_VALUE"""),"Prestaciones")</f>
        <v/>
      </c>
      <c r="F32" s="13">
        <f>IFERROR(__xludf.DUMMYFUNCTION("""COMPUTED_VALUE"""),"DSC_0701 Titulo Sistema Prev.MOV")</f>
        <v/>
      </c>
      <c r="G32" s="13">
        <f>IFERROR(__xludf.DUMMYFUNCTION("""COMPUTED_VALUE"""),14.11)</f>
        <v/>
      </c>
      <c r="H32" s="13">
        <f>IFERROR(__xludf.DUMMYFUNCTION("""COMPUTED_VALUE"""),"unknown")</f>
        <v/>
      </c>
      <c r="I32" s="13">
        <f>IFERROR(__xludf.DUMMYFUNCTION("""COMPUTED_VALUE"""),FALSE)</f>
        <v/>
      </c>
      <c r="J32" s="13">
        <f>IFERROR(__xludf.DUMMYFUNCTION("""COMPUTED_VALUE"""),0.992)</f>
        <v/>
      </c>
      <c r="K32" s="13">
        <f>IFERROR(__xludf.DUMMYFUNCTION("""COMPUTED_VALUE"""),0.0)</f>
        <v/>
      </c>
      <c r="L32" s="13">
        <f>IFERROR(__xludf.DUMMYFUNCTION("""COMPUTED_VALUE"""),0.347)</f>
        <v/>
      </c>
      <c r="M32" s="13">
        <f>IFERROR(__xludf.DUMMYFUNCTION("""COMPUTED_VALUE"""),"OK")</f>
        <v/>
      </c>
    </row>
    <row r="33">
      <c r="A33" s="13">
        <f>IFERROR(__xludf.DUMMYFUNCTION("""COMPUTED_VALUE"""),"DpT8rj_OyXI")</f>
        <v/>
      </c>
      <c r="B33" s="13">
        <f>IFERROR(__xludf.DUMMYFUNCTION("""COMPUTED_VALUE"""),"10. Edad jubilación por discapacidad")</f>
        <v/>
      </c>
      <c r="C33" s="13">
        <f>IFERROR(__xludf.DUMMYFUNCTION("""COMPUTED_VALUE"""),21.0)</f>
        <v/>
      </c>
      <c r="D33" s="13">
        <f>IFERROR(__xludf.DUMMYFUNCTION("""COMPUTED_VALUE"""),"Guía de Información 2018/2019 | Sistema Previsional")</f>
        <v/>
      </c>
      <c r="E33" s="13">
        <f>IFERROR(__xludf.DUMMYFUNCTION("""COMPUTED_VALUE"""),"Prestaciones")</f>
        <v/>
      </c>
      <c r="F33" s="13">
        <f>IFERROR(__xludf.DUMMYFUNCTION("""COMPUTED_VALUE"""),"DSC_0780 Jubil disc edad si.MOV")</f>
        <v/>
      </c>
      <c r="G33" s="13">
        <f>IFERROR(__xludf.DUMMYFUNCTION("""COMPUTED_VALUE"""),22.62)</f>
        <v/>
      </c>
      <c r="H33" s="13">
        <f>IFERROR(__xludf.DUMMYFUNCTION("""COMPUTED_VALUE"""),"Prestaciones")</f>
        <v/>
      </c>
      <c r="I33" s="13">
        <f>IFERROR(__xludf.DUMMYFUNCTION("""COMPUTED_VALUE"""),FALSE)</f>
        <v/>
      </c>
      <c r="J33" s="13">
        <f>IFERROR(__xludf.DUMMYFUNCTION("""COMPUTED_VALUE"""),0.973)</f>
        <v/>
      </c>
      <c r="K33" s="13">
        <f>IFERROR(__xludf.DUMMYFUNCTION("""COMPUTED_VALUE"""),0.0)</f>
        <v/>
      </c>
      <c r="L33" s="13">
        <f>IFERROR(__xludf.DUMMYFUNCTION("""COMPUTED_VALUE"""),0.441)</f>
        <v/>
      </c>
      <c r="M33" s="13">
        <f>IFERROR(__xludf.DUMMYFUNCTION("""COMPUTED_VALUE"""),"OK")</f>
        <v/>
      </c>
    </row>
    <row r="34">
      <c r="A34" s="13">
        <f>IFERROR(__xludf.DUMMYFUNCTION("""COMPUTED_VALUE"""),"hHqyvAOZpwk")</f>
        <v/>
      </c>
      <c r="B34" s="13">
        <f>IFERROR(__xludf.DUMMYFUNCTION("""COMPUTED_VALUE"""),"11. Retiro por invalidez")</f>
        <v/>
      </c>
      <c r="C34" s="13">
        <f>IFERROR(__xludf.DUMMYFUNCTION("""COMPUTED_VALUE"""),33.0)</f>
        <v/>
      </c>
      <c r="D34" s="13">
        <f>IFERROR(__xludf.DUMMYFUNCTION("""COMPUTED_VALUE"""),"Guía de Información 2018/2019 | Sistema Previsional")</f>
        <v/>
      </c>
      <c r="E34" s="13">
        <f>IFERROR(__xludf.DUMMYFUNCTION("""COMPUTED_VALUE"""),"Prestaciones")</f>
        <v/>
      </c>
      <c r="F34" s="13">
        <f>IFERROR(__xludf.DUMMYFUNCTION("""COMPUTED_VALUE"""),"DSC_0785 Retiro si.MOV")</f>
        <v/>
      </c>
      <c r="G34" s="13">
        <f>IFERROR(__xludf.DUMMYFUNCTION("""COMPUTED_VALUE"""),34.53)</f>
        <v/>
      </c>
      <c r="H34" s="13">
        <f>IFERROR(__xludf.DUMMYFUNCTION("""COMPUTED_VALUE"""),"Prestaciones")</f>
        <v/>
      </c>
      <c r="I34" s="13">
        <f>IFERROR(__xludf.DUMMYFUNCTION("""COMPUTED_VALUE"""),FALSE)</f>
        <v/>
      </c>
      <c r="J34" s="13">
        <f>IFERROR(__xludf.DUMMYFUNCTION("""COMPUTED_VALUE"""),0.985)</f>
        <v/>
      </c>
      <c r="K34" s="13">
        <f>IFERROR(__xludf.DUMMYFUNCTION("""COMPUTED_VALUE"""),0.0)</f>
        <v/>
      </c>
      <c r="L34" s="13">
        <f>IFERROR(__xludf.DUMMYFUNCTION("""COMPUTED_VALUE"""),0.445)</f>
        <v/>
      </c>
      <c r="M34" s="13">
        <f>IFERROR(__xludf.DUMMYFUNCTION("""COMPUTED_VALUE"""),"OK")</f>
        <v/>
      </c>
    </row>
    <row r="35">
      <c r="A35" s="13">
        <f>IFERROR(__xludf.DUMMYFUNCTION("""COMPUTED_VALUE"""),"BbiF_2145Es")</f>
        <v/>
      </c>
      <c r="B35" s="13">
        <f>IFERROR(__xludf.DUMMYFUNCTION("""COMPUTED_VALUE"""),"2.  Pensión no contributiva por discapacidad - PNC")</f>
        <v/>
      </c>
      <c r="C35" s="13">
        <f>IFERROR(__xludf.DUMMYFUNCTION("""COMPUTED_VALUE"""),22.0)</f>
        <v/>
      </c>
      <c r="D35" s="13">
        <f>IFERROR(__xludf.DUMMYFUNCTION("""COMPUTED_VALUE"""),"Guía de Información 2018/2019 | Sistema Previsional")</f>
        <v/>
      </c>
      <c r="E35" s="13">
        <f>IFERROR(__xludf.DUMMYFUNCTION("""COMPUTED_VALUE"""),"Prestaciones")</f>
        <v/>
      </c>
      <c r="F35" s="13">
        <f>IFERROR(__xludf.DUMMYFUNCTION("""COMPUTED_VALUE"""),"DSC_0749 PNC2.MOV")</f>
        <v/>
      </c>
      <c r="G35" s="13">
        <f>IFERROR(__xludf.DUMMYFUNCTION("""COMPUTED_VALUE"""),24.12)</f>
        <v/>
      </c>
      <c r="H35" s="13">
        <f>IFERROR(__xludf.DUMMYFUNCTION("""COMPUTED_VALUE"""),"Prestaciones")</f>
        <v/>
      </c>
      <c r="I35" s="13">
        <f>IFERROR(__xludf.DUMMYFUNCTION("""COMPUTED_VALUE"""),FALSE)</f>
        <v/>
      </c>
      <c r="J35" s="13">
        <f>IFERROR(__xludf.DUMMYFUNCTION("""COMPUTED_VALUE"""),0.965)</f>
        <v/>
      </c>
      <c r="K35" s="13">
        <f>IFERROR(__xludf.DUMMYFUNCTION("""COMPUTED_VALUE"""),0.0)</f>
        <v/>
      </c>
      <c r="L35" s="13">
        <f>IFERROR(__xludf.DUMMYFUNCTION("""COMPUTED_VALUE"""),0.438)</f>
        <v/>
      </c>
      <c r="M35" s="13">
        <f>IFERROR(__xludf.DUMMYFUNCTION("""COMPUTED_VALUE"""),"OK")</f>
        <v/>
      </c>
    </row>
    <row r="36">
      <c r="A36" s="13">
        <f>IFERROR(__xludf.DUMMYFUNCTION("""COMPUTED_VALUE"""),"DpT8rj_OyXI")</f>
        <v/>
      </c>
      <c r="B36" s="13">
        <f>IFERROR(__xludf.DUMMYFUNCTION("""COMPUTED_VALUE"""),"4. ¿Cómo se tramita la pensión por discapacidad?")</f>
        <v/>
      </c>
      <c r="C36" s="13">
        <f>IFERROR(__xludf.DUMMYFUNCTION("""COMPUTED_VALUE"""),14.0)</f>
        <v/>
      </c>
      <c r="D36" s="13">
        <f>IFERROR(__xludf.DUMMYFUNCTION("""COMPUTED_VALUE"""),"Guía de Información 2018/2019 | Sistema Previsional")</f>
        <v/>
      </c>
      <c r="E36" s="13">
        <f>IFERROR(__xludf.DUMMYFUNCTION("""COMPUTED_VALUE"""),"Prestaciones")</f>
        <v/>
      </c>
      <c r="F36" s="13">
        <f>IFERROR(__xludf.DUMMYFUNCTION("""COMPUTED_VALUE"""),"DSC_0761 PNC dnd si.MOV")</f>
        <v/>
      </c>
      <c r="G36" s="13">
        <f>IFERROR(__xludf.DUMMYFUNCTION("""COMPUTED_VALUE"""),23.72)</f>
        <v/>
      </c>
      <c r="H36" s="13">
        <f>IFERROR(__xludf.DUMMYFUNCTION("""COMPUTED_VALUE"""),"Prestaciones")</f>
        <v/>
      </c>
      <c r="I36" s="13">
        <f>IFERROR(__xludf.DUMMYFUNCTION("""COMPUTED_VALUE"""),FALSE)</f>
        <v/>
      </c>
      <c r="J36" s="13">
        <f>IFERROR(__xludf.DUMMYFUNCTION("""COMPUTED_VALUE"""),0.885)</f>
        <v/>
      </c>
      <c r="K36" s="13">
        <f>IFERROR(__xludf.DUMMYFUNCTION("""COMPUTED_VALUE"""),0.0)</f>
        <v/>
      </c>
      <c r="L36" s="13">
        <f>IFERROR(__xludf.DUMMYFUNCTION("""COMPUTED_VALUE"""),0.41)</f>
        <v/>
      </c>
      <c r="M36" s="13">
        <f>IFERROR(__xludf.DUMMYFUNCTION("""COMPUTED_VALUE"""),"OK")</f>
        <v/>
      </c>
    </row>
    <row r="37">
      <c r="A37" s="13">
        <f>IFERROR(__xludf.DUMMYFUNCTION("""COMPUTED_VALUE"""),"i1YJ2VoH6_k")</f>
        <v/>
      </c>
      <c r="B37" s="13">
        <f>IFERROR(__xludf.DUMMYFUNCTION("""COMPUTED_VALUE"""),"5. Certificado Médico Oficial - CMO")</f>
        <v/>
      </c>
      <c r="C37" s="13">
        <f>IFERROR(__xludf.DUMMYFUNCTION("""COMPUTED_VALUE"""),34.0)</f>
        <v/>
      </c>
      <c r="D37" s="13">
        <f>IFERROR(__xludf.DUMMYFUNCTION("""COMPUTED_VALUE"""),"Guía de Información 2018/2019 | Sistema Previsional")</f>
        <v/>
      </c>
      <c r="E37" s="13">
        <f>IFERROR(__xludf.DUMMYFUNCTION("""COMPUTED_VALUE"""),"Prestaciones")</f>
        <v/>
      </c>
      <c r="F37" s="13">
        <f>IFERROR(__xludf.DUMMYFUNCTION("""COMPUTED_VALUE"""),"DSC_0765 CMO si.MOV")</f>
        <v/>
      </c>
      <c r="G37" s="13">
        <f>IFERROR(__xludf.DUMMYFUNCTION("""COMPUTED_VALUE"""),35.34)</f>
        <v/>
      </c>
      <c r="H37" s="13">
        <f>IFERROR(__xludf.DUMMYFUNCTION("""COMPUTED_VALUE"""),"Prestaciones")</f>
        <v/>
      </c>
      <c r="I37" s="13">
        <f>IFERROR(__xludf.DUMMYFUNCTION("""COMPUTED_VALUE"""),FALSE)</f>
        <v/>
      </c>
      <c r="J37" s="13">
        <f>IFERROR(__xludf.DUMMYFUNCTION("""COMPUTED_VALUE"""),0.906)</f>
        <v/>
      </c>
      <c r="K37" s="13">
        <f>IFERROR(__xludf.DUMMYFUNCTION("""COMPUTED_VALUE"""),0.0)</f>
        <v/>
      </c>
      <c r="L37" s="13">
        <f>IFERROR(__xludf.DUMMYFUNCTION("""COMPUTED_VALUE"""),0.417)</f>
        <v/>
      </c>
      <c r="M37" s="13">
        <f>IFERROR(__xludf.DUMMYFUNCTION("""COMPUTED_VALUE"""),"OK")</f>
        <v/>
      </c>
    </row>
    <row r="38">
      <c r="A38" s="13">
        <f>IFERROR(__xludf.DUMMYFUNCTION("""COMPUTED_VALUE"""),"rX2VatRZzBE")</f>
        <v/>
      </c>
      <c r="B38" s="13">
        <f>IFERROR(__xludf.DUMMYFUNCTION("""COMPUTED_VALUE"""),"7. ¿Cuándo podes cobrar la asignación por hijo con discapacidad?")</f>
        <v/>
      </c>
      <c r="C38" s="13">
        <f>IFERROR(__xludf.DUMMYFUNCTION("""COMPUTED_VALUE"""),28.0)</f>
        <v/>
      </c>
      <c r="D38" s="13">
        <f>IFERROR(__xludf.DUMMYFUNCTION("""COMPUTED_VALUE"""),"Guía de Información 2018/2019 | Sistema Previsional")</f>
        <v/>
      </c>
      <c r="E38" s="13">
        <f>IFERROR(__xludf.DUMMYFUNCTION("""COMPUTED_VALUE"""),"Prestaciones")</f>
        <v/>
      </c>
      <c r="F38" s="13">
        <f>IFERROR(__xludf.DUMMYFUNCTION("""COMPUTED_VALUE"""),"DSC_0771 AHHD si.MOV")</f>
        <v/>
      </c>
      <c r="G38" s="13">
        <f>IFERROR(__xludf.DUMMYFUNCTION("""COMPUTED_VALUE"""),31.23)</f>
        <v/>
      </c>
      <c r="H38" s="13">
        <f>IFERROR(__xludf.DUMMYFUNCTION("""COMPUTED_VALUE"""),"Prestaciones")</f>
        <v/>
      </c>
      <c r="I38" s="13">
        <f>IFERROR(__xludf.DUMMYFUNCTION("""COMPUTED_VALUE"""),FALSE)</f>
        <v/>
      </c>
      <c r="J38" s="13">
        <f>IFERROR(__xludf.DUMMYFUNCTION("""COMPUTED_VALUE"""),0.946)</f>
        <v/>
      </c>
      <c r="K38" s="13">
        <f>IFERROR(__xludf.DUMMYFUNCTION("""COMPUTED_VALUE"""),0.0)</f>
        <v/>
      </c>
      <c r="L38" s="13">
        <f>IFERROR(__xludf.DUMMYFUNCTION("""COMPUTED_VALUE"""),0.431)</f>
        <v/>
      </c>
      <c r="M38" s="13">
        <f>IFERROR(__xludf.DUMMYFUNCTION("""COMPUTED_VALUE"""),"OK")</f>
        <v/>
      </c>
    </row>
    <row r="39">
      <c r="A39" s="13">
        <f>IFERROR(__xludf.DUMMYFUNCTION("""COMPUTED_VALUE"""),"V0hm94uW_to")</f>
        <v/>
      </c>
      <c r="B39" s="13">
        <f>IFERROR(__xludf.DUMMYFUNCTION("""COMPUTED_VALUE"""),"9. Jubilación por discapacidad")</f>
        <v/>
      </c>
      <c r="C39" s="13">
        <f>IFERROR(__xludf.DUMMYFUNCTION("""COMPUTED_VALUE"""),25.0)</f>
        <v/>
      </c>
      <c r="D39" s="13">
        <f>IFERROR(__xludf.DUMMYFUNCTION("""COMPUTED_VALUE"""),"Guía de Información 2018/2019 | Sistema Previsional")</f>
        <v/>
      </c>
      <c r="E39" s="13">
        <f>IFERROR(__xludf.DUMMYFUNCTION("""COMPUTED_VALUE"""),"Prestaciones")</f>
        <v/>
      </c>
      <c r="F39" s="13">
        <f>IFERROR(__xludf.DUMMYFUNCTION("""COMPUTED_VALUE"""),"DSC_0775 Jubil disc si.MOV")</f>
        <v/>
      </c>
      <c r="G39" s="13">
        <f>IFERROR(__xludf.DUMMYFUNCTION("""COMPUTED_VALUE"""),26.03)</f>
        <v/>
      </c>
      <c r="H39" s="13">
        <f>IFERROR(__xludf.DUMMYFUNCTION("""COMPUTED_VALUE"""),"Prestaciones")</f>
        <v/>
      </c>
      <c r="I39" s="13">
        <f>IFERROR(__xludf.DUMMYFUNCTION("""COMPUTED_VALUE"""),FALSE)</f>
        <v/>
      </c>
      <c r="J39" s="13">
        <f>IFERROR(__xludf.DUMMYFUNCTION("""COMPUTED_VALUE"""),0.93)</f>
        <v/>
      </c>
      <c r="K39" s="13">
        <f>IFERROR(__xludf.DUMMYFUNCTION("""COMPUTED_VALUE"""),0.0)</f>
        <v/>
      </c>
      <c r="L39" s="13">
        <f>IFERROR(__xludf.DUMMYFUNCTION("""COMPUTED_VALUE"""),0.425)</f>
        <v/>
      </c>
      <c r="M39" s="13">
        <f>IFERROR(__xludf.DUMMYFUNCTION("""COMPUTED_VALUE"""),"OK")</f>
        <v/>
      </c>
    </row>
    <row r="40">
      <c r="A40" s="13">
        <f>IFERROR(__xludf.DUMMYFUNCTION("""COMPUTED_VALUE"""),"_j3n-b6Fc_A")</f>
        <v/>
      </c>
      <c r="B40" s="13">
        <f>IFERROR(__xludf.DUMMYFUNCTION("""COMPUTED_VALUE"""),"1. Registro Único Laboral - RUL")</f>
        <v/>
      </c>
      <c r="C40" s="13">
        <f>IFERROR(__xludf.DUMMYFUNCTION("""COMPUTED_VALUE"""),68.0)</f>
        <v/>
      </c>
      <c r="D40" s="13">
        <f>IFERROR(__xludf.DUMMYFUNCTION("""COMPUTED_VALUE"""),"Guía de Información 2018/2019 | Trabajo")</f>
        <v/>
      </c>
      <c r="E40" s="13">
        <f>IFERROR(__xludf.DUMMYFUNCTION("""COMPUTED_VALUE"""),"Trabajo")</f>
        <v/>
      </c>
      <c r="F40" s="13">
        <f>IFERROR(__xludf.DUMMYFUNCTION("""COMPUTED_VALUE"""),"DSC_0884 p.108 rul.MOV")</f>
        <v/>
      </c>
      <c r="G40" s="13">
        <f>IFERROR(__xludf.DUMMYFUNCTION("""COMPUTED_VALUE"""),74.07)</f>
        <v/>
      </c>
      <c r="H40" s="13">
        <f>IFERROR(__xludf.DUMMYFUNCTION("""COMPUTED_VALUE"""),"Trabajo")</f>
        <v/>
      </c>
      <c r="I40" s="13">
        <f>IFERROR(__xludf.DUMMYFUNCTION("""COMPUTED_VALUE"""),TRUE)</f>
        <v/>
      </c>
      <c r="J40" s="13">
        <f>IFERROR(__xludf.DUMMYFUNCTION("""COMPUTED_VALUE"""),0.918)</f>
        <v/>
      </c>
      <c r="K40" s="13">
        <f>IFERROR(__xludf.DUMMYFUNCTION("""COMPUTED_VALUE"""),0.165)</f>
        <v/>
      </c>
      <c r="L40" s="13">
        <f>IFERROR(__xludf.DUMMYFUNCTION("""COMPUTED_VALUE"""),0.512)</f>
        <v/>
      </c>
      <c r="M40" s="13">
        <f>IFERROR(__xludf.DUMMYFUNCTION("""COMPUTED_VALUE"""),"OK")</f>
        <v/>
      </c>
    </row>
    <row r="41">
      <c r="A41" s="13">
        <f>IFERROR(__xludf.DUMMYFUNCTION("""COMPUTED_VALUE"""),"ApXvrj82TgY")</f>
        <v/>
      </c>
      <c r="B41" s="13">
        <f>IFERROR(__xludf.DUMMYFUNCTION("""COMPUTED_VALUE"""),"2. Becas de estudio y formación profesional")</f>
        <v/>
      </c>
      <c r="C41" s="13">
        <f>IFERROR(__xludf.DUMMYFUNCTION("""COMPUTED_VALUE"""),56.0)</f>
        <v/>
      </c>
      <c r="D41" s="13">
        <f>IFERROR(__xludf.DUMMYFUNCTION("""COMPUTED_VALUE"""),"Guía de Información 2018/2019 | Trabajo")</f>
        <v/>
      </c>
      <c r="E41" s="13">
        <f>IFERROR(__xludf.DUMMYFUNCTION("""COMPUTED_VALUE"""),"Turismo")</f>
        <v/>
      </c>
      <c r="F41" s="13">
        <f>IFERROR(__xludf.DUMMYFUNCTION("""COMPUTED_VALUE"""),"DSC_1026 becas primera parte.MOV")</f>
        <v/>
      </c>
      <c r="G41" s="13">
        <f>IFERROR(__xludf.DUMMYFUNCTION("""COMPUTED_VALUE"""),59.36)</f>
        <v/>
      </c>
      <c r="H41" s="13">
        <f>IFERROR(__xludf.DUMMYFUNCTION("""COMPUTED_VALUE"""),"unknown")</f>
        <v/>
      </c>
      <c r="I41" s="13">
        <f>IFERROR(__xludf.DUMMYFUNCTION("""COMPUTED_VALUE"""),TRUE)</f>
        <v/>
      </c>
      <c r="J41" s="13">
        <f>IFERROR(__xludf.DUMMYFUNCTION("""COMPUTED_VALUE"""),0.994)</f>
        <v/>
      </c>
      <c r="K41" s="13">
        <f>IFERROR(__xludf.DUMMYFUNCTION("""COMPUTED_VALUE"""),0.0)</f>
        <v/>
      </c>
      <c r="L41" s="13">
        <f>IFERROR(__xludf.DUMMYFUNCTION("""COMPUTED_VALUE"""),0.348)</f>
        <v/>
      </c>
      <c r="M41" s="13">
        <f>IFERROR(__xludf.DUMMYFUNCTION("""COMPUTED_VALUE"""),"OK")</f>
        <v/>
      </c>
    </row>
    <row r="42">
      <c r="A42" s="13">
        <f>IFERROR(__xludf.DUMMYFUNCTION("""COMPUTED_VALUE"""),"4T68Q7fSeA4")</f>
        <v/>
      </c>
      <c r="B42" s="13">
        <f>IFERROR(__xludf.DUMMYFUNCTION("""COMPUTED_VALUE"""),"3. Registro Pequeños Comercios")</f>
        <v/>
      </c>
      <c r="C42" s="13">
        <f>IFERROR(__xludf.DUMMYFUNCTION("""COMPUTED_VALUE"""),55.0)</f>
        <v/>
      </c>
      <c r="D42" s="13">
        <f>IFERROR(__xludf.DUMMYFUNCTION("""COMPUTED_VALUE"""),"Guía de Información 2018/2019 | Trabajo")</f>
        <v/>
      </c>
      <c r="E42" s="13">
        <f>IFERROR(__xludf.DUMMYFUNCTION("""COMPUTED_VALUE"""),"Trabajo")</f>
        <v/>
      </c>
      <c r="F42" s="13">
        <f>IFERROR(__xludf.DUMMYFUNCTION("""COMPUTED_VALUE"""),"DSC_1031pquenos com si.MOV")</f>
        <v/>
      </c>
      <c r="G42" s="13">
        <f>IFERROR(__xludf.DUMMYFUNCTION("""COMPUTED_VALUE"""),67.97)</f>
        <v/>
      </c>
      <c r="H42" s="13">
        <f>IFERROR(__xludf.DUMMYFUNCTION("""COMPUTED_VALUE"""),"Trabajo")</f>
        <v/>
      </c>
      <c r="I42" s="13">
        <f>IFERROR(__xludf.DUMMYFUNCTION("""COMPUTED_VALUE"""),TRUE)</f>
        <v/>
      </c>
      <c r="J42" s="13">
        <f>IFERROR(__xludf.DUMMYFUNCTION("""COMPUTED_VALUE"""),0.809)</f>
        <v/>
      </c>
      <c r="K42" s="13">
        <f>IFERROR(__xludf.DUMMYFUNCTION("""COMPUTED_VALUE"""),0.174)</f>
        <v/>
      </c>
      <c r="L42" s="13">
        <f>IFERROR(__xludf.DUMMYFUNCTION("""COMPUTED_VALUE"""),0.479)</f>
        <v/>
      </c>
      <c r="M42" s="13">
        <f>IFERROR(__xludf.DUMMYFUNCTION("""COMPUTED_VALUE"""),"OK")</f>
        <v/>
      </c>
    </row>
    <row r="43">
      <c r="A43" s="13">
        <f>IFERROR(__xludf.DUMMYFUNCTION("""COMPUTED_VALUE"""),"-IdA4qbAncw")</f>
        <v/>
      </c>
      <c r="B43" s="13">
        <f>IFERROR(__xludf.DUMMYFUNCTION("""COMPUTED_VALUE"""),"4.  Vender en ferias artesanales")</f>
        <v/>
      </c>
      <c r="C43" s="13">
        <f>IFERROR(__xludf.DUMMYFUNCTION("""COMPUTED_VALUE"""),41.0)</f>
        <v/>
      </c>
      <c r="D43" s="13">
        <f>IFERROR(__xludf.DUMMYFUNCTION("""COMPUTED_VALUE"""),"Guía de Información 2018/2019 | Trabajo")</f>
        <v/>
      </c>
      <c r="E43" s="13">
        <f>IFERROR(__xludf.DUMMYFUNCTION("""COMPUTED_VALUE"""),"Trabajo")</f>
        <v/>
      </c>
      <c r="F43" s="13">
        <f>IFERROR(__xludf.DUMMYFUNCTION("""COMPUTED_VALUE"""),"DSC_1034 ferias si.MOV")</f>
        <v/>
      </c>
      <c r="G43" s="13">
        <f>IFERROR(__xludf.DUMMYFUNCTION("""COMPUTED_VALUE"""),44.94)</f>
        <v/>
      </c>
      <c r="H43" s="13">
        <f>IFERROR(__xludf.DUMMYFUNCTION("""COMPUTED_VALUE"""),"Trabajo")</f>
        <v/>
      </c>
      <c r="I43" s="13">
        <f>IFERROR(__xludf.DUMMYFUNCTION("""COMPUTED_VALUE"""),TRUE)</f>
        <v/>
      </c>
      <c r="J43" s="13">
        <f>IFERROR(__xludf.DUMMYFUNCTION("""COMPUTED_VALUE"""),0.912)</f>
        <v/>
      </c>
      <c r="K43" s="13">
        <f>IFERROR(__xludf.DUMMYFUNCTION("""COMPUTED_VALUE"""),0.223)</f>
        <v/>
      </c>
      <c r="L43" s="13">
        <f>IFERROR(__xludf.DUMMYFUNCTION("""COMPUTED_VALUE"""),0.542)</f>
        <v/>
      </c>
      <c r="M43" s="13">
        <f>IFERROR(__xludf.DUMMYFUNCTION("""COMPUTED_VALUE"""),"OK")</f>
        <v/>
      </c>
    </row>
    <row r="44">
      <c r="A44" s="13">
        <f>IFERROR(__xludf.DUMMYFUNCTION("""COMPUTED_VALUE"""),"dzQ8_c5glyA")</f>
        <v/>
      </c>
      <c r="B44" s="13">
        <f>IFERROR(__xludf.DUMMYFUNCTION("""COMPUTED_VALUE"""),"5.  Programas Nación 16 ↓")</f>
        <v/>
      </c>
      <c r="C44" s="13">
        <f>IFERROR(__xludf.DUMMYFUNCTION("""COMPUTED_VALUE"""),24.0)</f>
        <v/>
      </c>
      <c r="D44" s="13">
        <f>IFERROR(__xludf.DUMMYFUNCTION("""COMPUTED_VALUE"""),"Guía de Información 2018/2019 | Trabajo")</f>
        <v/>
      </c>
      <c r="E44" s="13">
        <f>IFERROR(__xludf.DUMMYFUNCTION("""COMPUTED_VALUE"""),"Educacion")</f>
        <v/>
      </c>
      <c r="F44" s="13">
        <f>IFERROR(__xludf.DUMMYFUNCTION("""COMPUTED_VALUE"""),"DSC_1035 programas nacion.MOV")</f>
        <v/>
      </c>
      <c r="G44" s="13">
        <f>IFERROR(__xludf.DUMMYFUNCTION("""COMPUTED_VALUE"""),27.13)</f>
        <v/>
      </c>
      <c r="H44" s="13">
        <f>IFERROR(__xludf.DUMMYFUNCTION("""COMPUTED_VALUE"""),"unknown")</f>
        <v/>
      </c>
      <c r="I44" s="13">
        <f>IFERROR(__xludf.DUMMYFUNCTION("""COMPUTED_VALUE"""),TRUE)</f>
        <v/>
      </c>
      <c r="J44" s="13">
        <f>IFERROR(__xludf.DUMMYFUNCTION("""COMPUTED_VALUE"""),0.995)</f>
        <v/>
      </c>
      <c r="K44" s="13">
        <f>IFERROR(__xludf.DUMMYFUNCTION("""COMPUTED_VALUE"""),0.0)</f>
        <v/>
      </c>
      <c r="L44" s="13">
        <f>IFERROR(__xludf.DUMMYFUNCTION("""COMPUTED_VALUE"""),0.348)</f>
        <v/>
      </c>
      <c r="M44" s="13">
        <f>IFERROR(__xludf.DUMMYFUNCTION("""COMPUTED_VALUE"""),"OK")</f>
        <v/>
      </c>
    </row>
    <row r="45">
      <c r="A45" s="13">
        <f>IFERROR(__xludf.DUMMYFUNCTION("""COMPUTED_VALUE"""),"3gyP_SIz3T0")</f>
        <v/>
      </c>
      <c r="B45" s="13">
        <f>IFERROR(__xludf.DUMMYFUNCTION("""COMPUTED_VALUE"""),"1. Beneficios transporte")</f>
        <v/>
      </c>
      <c r="C45" s="13">
        <f>IFERROR(__xludf.DUMMYFUNCTION("""COMPUTED_VALUE"""),39.0)</f>
        <v/>
      </c>
      <c r="D45" s="13">
        <f>IFERROR(__xludf.DUMMYFUNCTION("""COMPUTED_VALUE"""),"Guía de Información 2018/2019 | Transporte")</f>
        <v/>
      </c>
      <c r="E45" s="13">
        <f>IFERROR(__xludf.DUMMYFUNCTION("""COMPUTED_VALUE"""),"Transporte")</f>
        <v/>
      </c>
      <c r="F45" s="13">
        <f>IFERROR(__xludf.DUMMYFUNCTION("""COMPUTED_VALUE"""),"DSC_0730 transp4 ver.MOV")</f>
        <v/>
      </c>
      <c r="G45" s="13">
        <f>IFERROR(__xludf.DUMMYFUNCTION("""COMPUTED_VALUE"""),43.24)</f>
        <v/>
      </c>
      <c r="H45" s="13">
        <f>IFERROR(__xludf.DUMMYFUNCTION("""COMPUTED_VALUE"""),"Transporte")</f>
        <v/>
      </c>
      <c r="I45" s="13">
        <f>IFERROR(__xludf.DUMMYFUNCTION("""COMPUTED_VALUE"""),FALSE)</f>
        <v/>
      </c>
      <c r="J45" s="13">
        <f>IFERROR(__xludf.DUMMYFUNCTION("""COMPUTED_VALUE"""),0.902)</f>
        <v/>
      </c>
      <c r="K45" s="13">
        <f>IFERROR(__xludf.DUMMYFUNCTION("""COMPUTED_VALUE"""),0.0)</f>
        <v/>
      </c>
      <c r="L45" s="13">
        <f>IFERROR(__xludf.DUMMYFUNCTION("""COMPUTED_VALUE"""),0.416)</f>
        <v/>
      </c>
      <c r="M45" s="13">
        <f>IFERROR(__xludf.DUMMYFUNCTION("""COMPUTED_VALUE"""),"OK")</f>
        <v/>
      </c>
    </row>
    <row r="46">
      <c r="A46" s="13">
        <f>IFERROR(__xludf.DUMMYFUNCTION("""COMPUTED_VALUE"""),"Lq8JAf8gTI0")</f>
        <v/>
      </c>
      <c r="B46" s="13">
        <f>IFERROR(__xludf.DUMMYFUNCTION("""COMPUTED_VALUE"""),"2. Pase libre para viajar")</f>
        <v/>
      </c>
      <c r="C46" s="13">
        <f>IFERROR(__xludf.DUMMYFUNCTION("""COMPUTED_VALUE"""),44.0)</f>
        <v/>
      </c>
      <c r="D46" s="13">
        <f>IFERROR(__xludf.DUMMYFUNCTION("""COMPUTED_VALUE"""),"Guía de Información 2018/2019 | Transporte")</f>
        <v/>
      </c>
      <c r="E46" s="13">
        <f>IFERROR(__xludf.DUMMYFUNCTION("""COMPUTED_VALUE"""),"Transporte")</f>
        <v/>
      </c>
      <c r="F46" s="13">
        <f>IFERROR(__xludf.DUMMYFUNCTION("""COMPUTED_VALUE"""),"DSC_0802 Pasaje gratis si.MOV")</f>
        <v/>
      </c>
      <c r="G46" s="13">
        <f>IFERROR(__xludf.DUMMYFUNCTION("""COMPUTED_VALUE"""),49.85)</f>
        <v/>
      </c>
      <c r="H46" s="13">
        <f>IFERROR(__xludf.DUMMYFUNCTION("""COMPUTED_VALUE"""),"Transporte")</f>
        <v/>
      </c>
      <c r="I46" s="13">
        <f>IFERROR(__xludf.DUMMYFUNCTION("""COMPUTED_VALUE"""),TRUE)</f>
        <v/>
      </c>
      <c r="J46" s="13">
        <f>IFERROR(__xludf.DUMMYFUNCTION("""COMPUTED_VALUE"""),0.883)</f>
        <v/>
      </c>
      <c r="K46" s="13">
        <f>IFERROR(__xludf.DUMMYFUNCTION("""COMPUTED_VALUE"""),0.269)</f>
        <v/>
      </c>
      <c r="L46" s="13">
        <f>IFERROR(__xludf.DUMMYFUNCTION("""COMPUTED_VALUE"""),0.557)</f>
        <v/>
      </c>
      <c r="M46" s="13">
        <f>IFERROR(__xludf.DUMMYFUNCTION("""COMPUTED_VALUE"""),"OK")</f>
        <v/>
      </c>
    </row>
    <row r="47">
      <c r="A47" s="13">
        <f>IFERROR(__xludf.DUMMYFUNCTION("""COMPUTED_VALUE"""),"Gi5dmimT9mg")</f>
        <v/>
      </c>
      <c r="B47" s="13">
        <f>IFERROR(__xludf.DUMMYFUNCTION("""COMPUTED_VALUE"""),"3. Peaje libre")</f>
        <v/>
      </c>
      <c r="C47" s="13">
        <f>IFERROR(__xludf.DUMMYFUNCTION("""COMPUTED_VALUE"""),31.0)</f>
        <v/>
      </c>
      <c r="D47" s="13">
        <f>IFERROR(__xludf.DUMMYFUNCTION("""COMPUTED_VALUE"""),"Guía de Información 2018/2019 | Transporte")</f>
        <v/>
      </c>
      <c r="E47" s="13">
        <f>IFERROR(__xludf.DUMMYFUNCTION("""COMPUTED_VALUE"""),"Transporte")</f>
        <v/>
      </c>
      <c r="F47" s="13">
        <f>IFERROR(__xludf.DUMMYFUNCTION("""COMPUTED_VALUE"""),"DSC_0809 Peaje libre si.MOV")</f>
        <v/>
      </c>
      <c r="G47" s="13">
        <f>IFERROR(__xludf.DUMMYFUNCTION("""COMPUTED_VALUE"""),33.53)</f>
        <v/>
      </c>
      <c r="H47" s="13">
        <f>IFERROR(__xludf.DUMMYFUNCTION("""COMPUTED_VALUE"""),"Transporte")</f>
        <v/>
      </c>
      <c r="I47" s="13">
        <f>IFERROR(__xludf.DUMMYFUNCTION("""COMPUTED_VALUE"""),TRUE)</f>
        <v/>
      </c>
      <c r="J47" s="13">
        <f>IFERROR(__xludf.DUMMYFUNCTION("""COMPUTED_VALUE"""),0.906)</f>
        <v/>
      </c>
      <c r="K47" s="13">
        <f>IFERROR(__xludf.DUMMYFUNCTION("""COMPUTED_VALUE"""),0.0)</f>
        <v/>
      </c>
      <c r="L47" s="13">
        <f>IFERROR(__xludf.DUMMYFUNCTION("""COMPUTED_VALUE"""),0.417)</f>
        <v/>
      </c>
      <c r="M47" s="13">
        <f>IFERROR(__xludf.DUMMYFUNCTION("""COMPUTED_VALUE"""),"OK")</f>
        <v/>
      </c>
    </row>
    <row r="48">
      <c r="A48" s="13">
        <f>IFERROR(__xludf.DUMMYFUNCTION("""COMPUTED_VALUE"""),"DQO5MhSq8ks")</f>
        <v/>
      </c>
      <c r="B48" s="13">
        <f>IFERROR(__xludf.DUMMYFUNCTION("""COMPUTED_VALUE"""),"4. Perro guía o de asistencia")</f>
        <v/>
      </c>
      <c r="C48" s="13">
        <f>IFERROR(__xludf.DUMMYFUNCTION("""COMPUTED_VALUE"""),53.0)</f>
        <v/>
      </c>
      <c r="D48" s="13">
        <f>IFERROR(__xludf.DUMMYFUNCTION("""COMPUTED_VALUE"""),"Guía de Información 2018/2019 | Transporte")</f>
        <v/>
      </c>
      <c r="E48" s="13">
        <f>IFERROR(__xludf.DUMMYFUNCTION("""COMPUTED_VALUE"""),"Transporte")</f>
        <v/>
      </c>
      <c r="F48" s="13">
        <f>IFERROR(__xludf.DUMMYFUNCTION("""COMPUTED_VALUE"""),"DSC_0812 Perro guia primera parte.MOV")</f>
        <v/>
      </c>
      <c r="G48" s="13">
        <f>IFERROR(__xludf.DUMMYFUNCTION("""COMPUTED_VALUE"""),48.95)</f>
        <v/>
      </c>
      <c r="H48" s="13">
        <f>IFERROR(__xludf.DUMMYFUNCTION("""COMPUTED_VALUE"""),"Accesibilidad")</f>
        <v/>
      </c>
      <c r="I48" s="13">
        <f>IFERROR(__xludf.DUMMYFUNCTION("""COMPUTED_VALUE"""),TRUE)</f>
        <v/>
      </c>
      <c r="J48" s="13">
        <f>IFERROR(__xludf.DUMMYFUNCTION("""COMPUTED_VALUE"""),0.924)</f>
        <v/>
      </c>
      <c r="K48" s="13">
        <f>IFERROR(__xludf.DUMMYFUNCTION("""COMPUTED_VALUE"""),0.226)</f>
        <v/>
      </c>
      <c r="L48" s="13">
        <f>IFERROR(__xludf.DUMMYFUNCTION("""COMPUTED_VALUE"""),0.448)</f>
        <v/>
      </c>
      <c r="M48" s="13">
        <f>IFERROR(__xludf.DUMMYFUNCTION("""COMPUTED_VALUE"""),"OK")</f>
        <v/>
      </c>
    </row>
    <row r="49">
      <c r="A49" s="13">
        <f>IFERROR(__xludf.DUMMYFUNCTION("""COMPUTED_VALUE"""),"vdp9Fh7jj-8")</f>
        <v/>
      </c>
      <c r="B49" s="13">
        <f>IFERROR(__xludf.DUMMYFUNCTION("""COMPUTED_VALUE"""),"6. ¿Cómo pedir la reserva de estacionamiento? ↓")</f>
        <v/>
      </c>
      <c r="C49" s="13">
        <f>IFERROR(__xludf.DUMMYFUNCTION("""COMPUTED_VALUE"""),45.0)</f>
        <v/>
      </c>
      <c r="D49" s="13">
        <f>IFERROR(__xludf.DUMMYFUNCTION("""COMPUTED_VALUE"""),"Guía de Información 2018/2019 | Transporte")</f>
        <v/>
      </c>
      <c r="E49" s="13">
        <f>IFERROR(__xludf.DUMMYFUNCTION("""COMPUTED_VALUE"""),"Transporte")</f>
        <v/>
      </c>
      <c r="F49" s="13">
        <f>IFERROR(__xludf.DUMMYFUNCTION("""COMPUTED_VALUE"""),"DSC_0824 Reserva estac CONFIRMAR SI.MOV")</f>
        <v/>
      </c>
      <c r="G49" s="13">
        <f>IFERROR(__xludf.DUMMYFUNCTION("""COMPUTED_VALUE"""),49.55)</f>
        <v/>
      </c>
      <c r="H49" s="13">
        <f>IFERROR(__xludf.DUMMYFUNCTION("""COMPUTED_VALUE"""),"Accesibilidad")</f>
        <v/>
      </c>
      <c r="I49" s="13">
        <f>IFERROR(__xludf.DUMMYFUNCTION("""COMPUTED_VALUE"""),TRUE)</f>
        <v/>
      </c>
      <c r="J49" s="13">
        <f>IFERROR(__xludf.DUMMYFUNCTION("""COMPUTED_VALUE"""),0.908)</f>
        <v/>
      </c>
      <c r="K49" s="13">
        <f>IFERROR(__xludf.DUMMYFUNCTION("""COMPUTED_VALUE"""),0.241)</f>
        <v/>
      </c>
      <c r="L49" s="13">
        <f>IFERROR(__xludf.DUMMYFUNCTION("""COMPUTED_VALUE"""),0.45)</f>
        <v/>
      </c>
      <c r="M49" s="13">
        <f>IFERROR(__xludf.DUMMYFUNCTION("""COMPUTED_VALUE"""),"OK")</f>
        <v/>
      </c>
    </row>
    <row r="50">
      <c r="A50" s="13">
        <f>IFERROR(__xludf.DUMMYFUNCTION("""COMPUTED_VALUE"""),"gSe9tkhgOT0")</f>
        <v/>
      </c>
      <c r="B50" s="13">
        <f>IFERROR(__xludf.DUMMYFUNCTION("""COMPUTED_VALUE"""),"7. Franquicias")</f>
        <v/>
      </c>
      <c r="C50" s="13">
        <f>IFERROR(__xludf.DUMMYFUNCTION("""COMPUTED_VALUE"""),37.0)</f>
        <v/>
      </c>
      <c r="D50" s="13">
        <f>IFERROR(__xludf.DUMMYFUNCTION("""COMPUTED_VALUE"""),"Guía de Información 2018/2019 | Transporte")</f>
        <v/>
      </c>
      <c r="E50" s="13">
        <f>IFERROR(__xludf.DUMMYFUNCTION("""COMPUTED_VALUE"""),"Transporte")</f>
        <v/>
      </c>
      <c r="F50" s="13">
        <f>IFERROR(__xludf.DUMMYFUNCTION("""COMPUTED_VALUE"""),"DSC_0826 Franquicia si.MOV")</f>
        <v/>
      </c>
      <c r="G50" s="13">
        <f>IFERROR(__xludf.DUMMYFUNCTION("""COMPUTED_VALUE"""),41.04)</f>
        <v/>
      </c>
      <c r="H50" s="13">
        <f>IFERROR(__xludf.DUMMYFUNCTION("""COMPUTED_VALUE"""),"BeneficiosFiscales")</f>
        <v/>
      </c>
      <c r="I50" s="13">
        <f>IFERROR(__xludf.DUMMYFUNCTION("""COMPUTED_VALUE"""),TRUE)</f>
        <v/>
      </c>
      <c r="J50" s="13">
        <f>IFERROR(__xludf.DUMMYFUNCTION("""COMPUTED_VALUE"""),0.708)</f>
        <v/>
      </c>
      <c r="K50" s="13">
        <f>IFERROR(__xludf.DUMMYFUNCTION("""COMPUTED_VALUE"""),0.005)</f>
        <v/>
      </c>
      <c r="L50" s="13">
        <f>IFERROR(__xludf.DUMMYFUNCTION("""COMPUTED_VALUE"""),0.25)</f>
        <v/>
      </c>
      <c r="M50" s="13">
        <f>IFERROR(__xludf.DUMMYFUNCTION("""COMPUTED_VALUE"""),"OK")</f>
        <v/>
      </c>
    </row>
    <row r="51">
      <c r="A51" s="13">
        <f>IFERROR(__xludf.DUMMYFUNCTION("""COMPUTED_VALUE"""),"kMOBrkojQbw")</f>
        <v/>
      </c>
      <c r="B51" s="13">
        <f>IFERROR(__xludf.DUMMYFUNCTION("""COMPUTED_VALUE"""),"1. Banco de Elementos Ortopédicos - BEO")</f>
        <v/>
      </c>
      <c r="C51" s="13">
        <f>IFERROR(__xludf.DUMMYFUNCTION("""COMPUTED_VALUE"""),29.0)</f>
        <v/>
      </c>
      <c r="D51" s="13">
        <f>IFERROR(__xludf.DUMMYFUNCTION("""COMPUTED_VALUE"""),"Guía de Información 2018/2019 | Vida Independiente")</f>
        <v/>
      </c>
      <c r="E51" s="13">
        <f>IFERROR(__xludf.DUMMYFUNCTION("""COMPUTED_VALUE"""),"VidaIndependiente")</f>
        <v/>
      </c>
      <c r="F51" s="13">
        <f>IFERROR(__xludf.DUMMYFUNCTION("""COMPUTED_VALUE"""),"DSC_0882 p,105 beo.MOV")</f>
        <v/>
      </c>
      <c r="G51" s="13">
        <f>IFERROR(__xludf.DUMMYFUNCTION("""COMPUTED_VALUE"""),32.43)</f>
        <v/>
      </c>
      <c r="H51" s="13">
        <f>IFERROR(__xludf.DUMMYFUNCTION("""COMPUTED_VALUE"""),"Salud")</f>
        <v/>
      </c>
      <c r="I51" s="13">
        <f>IFERROR(__xludf.DUMMYFUNCTION("""COMPUTED_VALUE"""),TRUE)</f>
        <v/>
      </c>
      <c r="J51" s="13">
        <f>IFERROR(__xludf.DUMMYFUNCTION("""COMPUTED_VALUE"""),0.894)</f>
        <v/>
      </c>
      <c r="K51" s="13">
        <f>IFERROR(__xludf.DUMMYFUNCTION("""COMPUTED_VALUE"""),0.136)</f>
        <v/>
      </c>
      <c r="L51" s="13">
        <f>IFERROR(__xludf.DUMMYFUNCTION("""COMPUTED_VALUE"""),0.388)</f>
        <v/>
      </c>
      <c r="M51" s="13">
        <f>IFERROR(__xludf.DUMMYFUNCTION("""COMPUTED_VALUE"""),"OK")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0"/>
  <sheetViews>
    <sheetView workbookViewId="0">
      <selection activeCell="A1" sqref="A1"/>
    </sheetView>
  </sheetViews>
  <sheetFormatPr baseColWidth="8" defaultColWidth="12.63" defaultRowHeight="15.75" customHeight="1"/>
  <cols>
    <col width="20.75" customWidth="1" style="17" min="1" max="1"/>
    <col width="42.5" customWidth="1" style="17" min="2" max="2"/>
    <col width="21.13" customWidth="1" style="17" min="3" max="3"/>
    <col width="59.88" customWidth="1" style="17" min="4" max="4"/>
    <col width="27.25" customWidth="1" style="17" min="5" max="5"/>
  </cols>
  <sheetData>
    <row r="1">
      <c r="A1" s="13">
        <f>IFERROR(__xludf.DUMMYFUNCTION("{
 MATCHES!A1:E1;
 SORT(
  UNIQUE(
    FILTER(
      MATCHES!A2:E1000,
      MATCHES!M2:M1000&lt;&gt;""OK"",
      ISNA(
        MATCH(
          MATCHES!A2:A1000,
          FILTER(MATCHES!A2:A1000, MATCHES!M2:M1000=""OK""),
          0
        )
      )
    )
"&amp;"  ),
  4, TRUE,
  2, TRUE
 )
}"),"yt_id")</f>
        <v/>
      </c>
      <c r="B1" s="13">
        <f>IFERROR(__xludf.DUMMYFUNCTION("""COMPUTED_VALUE"""),"yt_title")</f>
        <v/>
      </c>
      <c r="C1" s="13">
        <f>IFERROR(__xludf.DUMMYFUNCTION("""COMPUTED_VALUE"""),"yt_dur_s")</f>
        <v/>
      </c>
      <c r="D1" s="13">
        <f>IFERROR(__xludf.DUMMYFUNCTION("""COMPUTED_VALUE"""),"playlist")</f>
        <v/>
      </c>
      <c r="E1" s="13">
        <f>IFERROR(__xludf.DUMMYFUNCTION("""COMPUTED_VALUE"""),"yt_topic")</f>
        <v/>
      </c>
    </row>
    <row r="2">
      <c r="A2" s="13">
        <f>IFERROR(__xludf.DUMMYFUNCTION("""COMPUTED_VALUE"""),"0Vxf04VftJE")</f>
        <v/>
      </c>
      <c r="B2" s="13">
        <f>IFERROR(__xludf.DUMMYFUNCTION("""COMPUTED_VALUE"""),"1. Beneficios fiscales")</f>
        <v/>
      </c>
      <c r="C2" s="13">
        <f>IFERROR(__xludf.DUMMYFUNCTION("""COMPUTED_VALUE"""),5.0)</f>
        <v/>
      </c>
      <c r="D2" s="13">
        <f>IFERROR(__xludf.DUMMYFUNCTION("""COMPUTED_VALUE"""),"Guía de Información 2018/2019 | Beneficios Fiscales")</f>
        <v/>
      </c>
      <c r="E2" s="13">
        <f>IFERROR(__xludf.DUMMYFUNCTION("""COMPUTED_VALUE"""),"BeneficiosFiscales")</f>
        <v/>
      </c>
    </row>
    <row r="3">
      <c r="A3" s="13">
        <f>IFERROR(__xludf.DUMMYFUNCTION("""COMPUTED_VALUE"""),"vP2AvPqVYa8")</f>
        <v/>
      </c>
      <c r="B3" s="13">
        <f>IFERROR(__xludf.DUMMYFUNCTION("""COMPUTED_VALUE"""),"2. ¿Qué es una exención fiscal?")</f>
        <v/>
      </c>
      <c r="C3" s="13">
        <f>IFERROR(__xludf.DUMMYFUNCTION("""COMPUTED_VALUE"""),21.0)</f>
        <v/>
      </c>
      <c r="D3" s="13">
        <f>IFERROR(__xludf.DUMMYFUNCTION("""COMPUTED_VALUE"""),"Guía de Información 2018/2019 | Beneficios Fiscales")</f>
        <v/>
      </c>
      <c r="E3" s="13">
        <f>IFERROR(__xludf.DUMMYFUNCTION("""COMPUTED_VALUE"""),"BeneficiosFiscales")</f>
        <v/>
      </c>
    </row>
    <row r="4">
      <c r="A4" s="13">
        <f>IFERROR(__xludf.DUMMYFUNCTION("""COMPUTED_VALUE"""),"75jVq4wKLEo")</f>
        <v/>
      </c>
      <c r="B4" s="13">
        <f>IFERROR(__xludf.DUMMYFUNCTION("""COMPUTED_VALUE"""),"5.  ¿Para qué son los ajustes razonables?")</f>
        <v/>
      </c>
      <c r="C4" s="13">
        <f>IFERROR(__xludf.DUMMYFUNCTION("""COMPUTED_VALUE"""),24.0)</f>
        <v/>
      </c>
      <c r="D4" s="13">
        <f>IFERROR(__xludf.DUMMYFUNCTION("""COMPUTED_VALUE"""),"Guía de Información 2018/2019 | Certificado Único de Discapacidad - CUD")</f>
        <v/>
      </c>
      <c r="E4" s="13">
        <f>IFERROR(__xludf.DUMMYFUNCTION("""COMPUTED_VALUE"""),"CUD")</f>
        <v/>
      </c>
    </row>
    <row r="5">
      <c r="A5" s="13">
        <f>IFERROR(__xludf.DUMMYFUNCTION("""COMPUTED_VALUE"""),"J6xUFDqW4BA")</f>
        <v/>
      </c>
      <c r="B5" s="13">
        <f>IFERROR(__xludf.DUMMYFUNCTION("""COMPUTED_VALUE"""),"1. Organizaciones Sociedad Civil - OSC")</f>
        <v/>
      </c>
      <c r="C5" s="13">
        <f>IFERROR(__xludf.DUMMYFUNCTION("""COMPUTED_VALUE"""),50.0)</f>
        <v/>
      </c>
      <c r="D5" s="13">
        <f>IFERROR(__xludf.DUMMYFUNCTION("""COMPUTED_VALUE"""),"Guía de Información 2018/2019 | Participación")</f>
        <v/>
      </c>
      <c r="E5" s="13">
        <f>IFERROR(__xludf.DUMMYFUNCTION("""COMPUTED_VALUE"""),"Participacion")</f>
        <v/>
      </c>
    </row>
    <row r="6">
      <c r="A6" s="13">
        <f>IFERROR(__xludf.DUMMYFUNCTION("""COMPUTED_VALUE"""),"OTmV28NGG5I")</f>
        <v/>
      </c>
      <c r="B6" s="13">
        <f>IFERROR(__xludf.DUMMYFUNCTION("""COMPUTED_VALUE"""),"2 - Fortalecimiento ↓")</f>
        <v/>
      </c>
      <c r="C6" s="13">
        <f>IFERROR(__xludf.DUMMYFUNCTION("""COMPUTED_VALUE"""),25.0)</f>
        <v/>
      </c>
      <c r="D6" s="13">
        <f>IFERROR(__xludf.DUMMYFUNCTION("""COMPUTED_VALUE"""),"Guía de Información 2018/2019 | Participación")</f>
        <v/>
      </c>
      <c r="E6" s="13">
        <f>IFERROR(__xludf.DUMMYFUNCTION("""COMPUTED_VALUE"""),"Participacion")</f>
        <v/>
      </c>
    </row>
    <row r="7">
      <c r="A7" s="13">
        <f>IFERROR(__xludf.DUMMYFUNCTION("""COMPUTED_VALUE"""),"Mu_txXs9ihg")</f>
        <v/>
      </c>
      <c r="B7" s="13">
        <f>IFERROR(__xludf.DUMMYFUNCTION("""COMPUTED_VALUE"""),"4.  Reclamar prestaciones básicas de salud")</f>
        <v/>
      </c>
      <c r="C7" s="13">
        <f>IFERROR(__xludf.DUMMYFUNCTION("""COMPUTED_VALUE"""),63.0)</f>
        <v/>
      </c>
      <c r="D7" s="13">
        <f>IFERROR(__xludf.DUMMYFUNCTION("""COMPUTED_VALUE"""),"Guía de Información 2018/2019 | Salud")</f>
        <v/>
      </c>
      <c r="E7" s="13">
        <f>IFERROR(__xludf.DUMMYFUNCTION("""COMPUTED_VALUE"""),"Salud")</f>
        <v/>
      </c>
    </row>
    <row r="8">
      <c r="A8" s="13">
        <f>IFERROR(__xludf.DUMMYFUNCTION("""COMPUTED_VALUE"""),"MkSTIErbEbk")</f>
        <v/>
      </c>
      <c r="B8" s="13">
        <f>IFERROR(__xludf.DUMMYFUNCTION("""COMPUTED_VALUE"""),"3. ¿Cuándo podes cobrar la pensión por discapacidad?")</f>
        <v/>
      </c>
      <c r="C8" s="13">
        <f>IFERROR(__xludf.DUMMYFUNCTION("""COMPUTED_VALUE"""),39.0)</f>
        <v/>
      </c>
      <c r="D8" s="13">
        <f>IFERROR(__xludf.DUMMYFUNCTION("""COMPUTED_VALUE"""),"Guía de Información 2018/2019 | Sistema Previsional")</f>
        <v/>
      </c>
      <c r="E8" s="13">
        <f>IFERROR(__xludf.DUMMYFUNCTION("""COMPUTED_VALUE"""),"Prestaciones")</f>
        <v/>
      </c>
    </row>
    <row r="9">
      <c r="A9" s="13">
        <f>IFERROR(__xludf.DUMMYFUNCTION("""COMPUTED_VALUE"""),"71AmCt5zrr8")</f>
        <v/>
      </c>
      <c r="B9" s="13">
        <f>IFERROR(__xludf.DUMMYFUNCTION("""COMPUTED_VALUE"""),"4. ¿Cómo se tramita la pensión por discapacidad?")</f>
        <v/>
      </c>
      <c r="C9" s="13">
        <f>IFERROR(__xludf.DUMMYFUNCTION("""COMPUTED_VALUE"""),14.0)</f>
        <v/>
      </c>
      <c r="D9" s="13">
        <f>IFERROR(__xludf.DUMMYFUNCTION("""COMPUTED_VALUE"""),"Guía de Información 2018/2019 | Sistema Previsional")</f>
        <v/>
      </c>
      <c r="E9" s="13">
        <f>IFERROR(__xludf.DUMMYFUNCTION("""COMPUTED_VALUE"""),"Prestaciones")</f>
        <v/>
      </c>
    </row>
    <row r="10">
      <c r="A10" s="13">
        <f>IFERROR(__xludf.DUMMYFUNCTION("""COMPUTED_VALUE"""),"O_9wfdgHaW4")</f>
        <v/>
      </c>
      <c r="B10" s="13">
        <f>IFERROR(__xludf.DUMMYFUNCTION("""COMPUTED_VALUE"""),"8. Asignación por hijo con discapacidad")</f>
        <v/>
      </c>
      <c r="C10" s="13">
        <f>IFERROR(__xludf.DUMMYFUNCTION("""COMPUTED_VALUE"""),38.0)</f>
        <v/>
      </c>
      <c r="D10" s="13">
        <f>IFERROR(__xludf.DUMMYFUNCTION("""COMPUTED_VALUE"""),"Guía de Información 2018/2019 | Sistema Previsional")</f>
        <v/>
      </c>
      <c r="E10" s="13">
        <f>IFERROR(__xludf.DUMMYFUNCTION("""COMPUTED_VALUE"""),"Prestaciones")</f>
        <v/>
      </c>
    </row>
    <row r="11">
      <c r="A11" s="13">
        <f>IFERROR(__xludf.DUMMYFUNCTION("""COMPUTED_VALUE"""),"kcChz0qrXZs")</f>
        <v/>
      </c>
      <c r="B11" s="13">
        <f>IFERROR(__xludf.DUMMYFUNCTION("""COMPUTED_VALUE"""),"5.  Símbolo Internacional de Acceso")</f>
        <v/>
      </c>
      <c r="C11" s="13">
        <f>IFERROR(__xludf.DUMMYFUNCTION("""COMPUTED_VALUE"""),66.0)</f>
        <v/>
      </c>
      <c r="D11" s="13">
        <f>IFERROR(__xludf.DUMMYFUNCTION("""COMPUTED_VALUE"""),"Guía de Información 2018/2019 | Transporte")</f>
        <v/>
      </c>
      <c r="E11" s="13">
        <f>IFERROR(__xludf.DUMMYFUNCTION("""COMPUTED_VALUE"""),"Transporte")</f>
        <v/>
      </c>
    </row>
    <row r="12">
      <c r="A12" s="13">
        <f>IFERROR(__xludf.DUMMYFUNCTION("""COMPUTED_VALUE"""),"ook_O5pd3D0")</f>
        <v/>
      </c>
      <c r="B12" s="13">
        <f>IFERROR(__xludf.DUMMYFUNCTION("""COMPUTED_VALUE"""),"Circuito 1: San Nicolás / Casco Histórico")</f>
        <v/>
      </c>
      <c r="C12" s="13">
        <f>IFERROR(__xludf.DUMMYFUNCTION("""COMPUTED_VALUE"""),222.0)</f>
        <v/>
      </c>
      <c r="D12" s="13">
        <f>IFERROR(__xludf.DUMMYFUNCTION("""COMPUTED_VALUE"""),"Guía de Turismo 2018/2019")</f>
        <v/>
      </c>
      <c r="E12" s="13">
        <f>IFERROR(__xludf.DUMMYFUNCTION("""COMPUTED_VALUE"""),"Turismo")</f>
        <v/>
      </c>
    </row>
    <row r="13">
      <c r="A13" s="13">
        <f>IFERROR(__xludf.DUMMYFUNCTION("""COMPUTED_VALUE"""),"VlfX8oURh-s")</f>
        <v/>
      </c>
      <c r="B13" s="13">
        <f>IFERROR(__xludf.DUMMYFUNCTION("""COMPUTED_VALUE"""),"Circuito 2: San Telmo / La Boca")</f>
        <v/>
      </c>
      <c r="C13" s="13">
        <f>IFERROR(__xludf.DUMMYFUNCTION("""COMPUTED_VALUE"""),276.0)</f>
        <v/>
      </c>
      <c r="D13" s="13">
        <f>IFERROR(__xludf.DUMMYFUNCTION("""COMPUTED_VALUE"""),"Guía de Turismo 2018/2019")</f>
        <v/>
      </c>
      <c r="E13" s="13">
        <f>IFERROR(__xludf.DUMMYFUNCTION("""COMPUTED_VALUE"""),"Turismo")</f>
        <v/>
      </c>
    </row>
    <row r="14">
      <c r="A14" s="13">
        <f>IFERROR(__xludf.DUMMYFUNCTION("""COMPUTED_VALUE"""),"q4S4J59Dvr8")</f>
        <v/>
      </c>
      <c r="B14" s="13">
        <f>IFERROR(__xludf.DUMMYFUNCTION("""COMPUTED_VALUE"""),"Circuito 3: Recoleta / Retiro")</f>
        <v/>
      </c>
      <c r="C14" s="13">
        <f>IFERROR(__xludf.DUMMYFUNCTION("""COMPUTED_VALUE"""),190.0)</f>
        <v/>
      </c>
      <c r="D14" s="13">
        <f>IFERROR(__xludf.DUMMYFUNCTION("""COMPUTED_VALUE"""),"Guía de Turismo 2018/2019")</f>
        <v/>
      </c>
      <c r="E14" s="13">
        <f>IFERROR(__xludf.DUMMYFUNCTION("""COMPUTED_VALUE"""),"Turismo")</f>
        <v/>
      </c>
    </row>
    <row r="15">
      <c r="A15" s="13">
        <f>IFERROR(__xludf.DUMMYFUNCTION("""COMPUTED_VALUE"""),"nbHsyDeo3Eo")</f>
        <v/>
      </c>
      <c r="B15" s="13">
        <f>IFERROR(__xludf.DUMMYFUNCTION("""COMPUTED_VALUE"""),"Circuito 4: Puerto Madero / Balvanera")</f>
        <v/>
      </c>
      <c r="C15" s="13">
        <f>IFERROR(__xludf.DUMMYFUNCTION("""COMPUTED_VALUE"""),270.0)</f>
        <v/>
      </c>
      <c r="D15" s="13">
        <f>IFERROR(__xludf.DUMMYFUNCTION("""COMPUTED_VALUE"""),"Guía de Turismo 2018/2019")</f>
        <v/>
      </c>
      <c r="E15" s="13">
        <f>IFERROR(__xludf.DUMMYFUNCTION("""COMPUTED_VALUE"""),"Turismo")</f>
        <v/>
      </c>
    </row>
    <row r="16">
      <c r="A16" s="13">
        <f>IFERROR(__xludf.DUMMYFUNCTION("""COMPUTED_VALUE"""),"QG7ND5YNfVQ")</f>
        <v/>
      </c>
      <c r="B16" s="13">
        <f>IFERROR(__xludf.DUMMYFUNCTION("""COMPUTED_VALUE"""),"Circuito 5: Palermo / Belgrano")</f>
        <v/>
      </c>
      <c r="C16" s="13">
        <f>IFERROR(__xludf.DUMMYFUNCTION("""COMPUTED_VALUE"""),196.0)</f>
        <v/>
      </c>
      <c r="D16" s="13">
        <f>IFERROR(__xludf.DUMMYFUNCTION("""COMPUTED_VALUE"""),"Guía de Turismo 2018/2019")</f>
        <v/>
      </c>
      <c r="E16" s="13">
        <f>IFERROR(__xludf.DUMMYFUNCTION("""COMPUTED_VALUE"""),"Turismo")</f>
        <v/>
      </c>
    </row>
    <row r="17">
      <c r="A17" s="13">
        <f>IFERROR(__xludf.DUMMYFUNCTION("""COMPUTED_VALUE"""),"7az9Z92XonA")</f>
        <v/>
      </c>
      <c r="B17" s="13">
        <f>IFERROR(__xludf.DUMMYFUNCTION("""COMPUTED_VALUE"""),"Circuito 6: Provincia de Buenos Aires - La Plata")</f>
        <v/>
      </c>
      <c r="C17" s="13">
        <f>IFERROR(__xludf.DUMMYFUNCTION("""COMPUTED_VALUE"""),66.0)</f>
        <v/>
      </c>
      <c r="D17" s="13">
        <f>IFERROR(__xludf.DUMMYFUNCTION("""COMPUTED_VALUE"""),"Guía de Turismo 2018/2019")</f>
        <v/>
      </c>
      <c r="E17" s="13">
        <f>IFERROR(__xludf.DUMMYFUNCTION("""COMPUTED_VALUE"""),"Turismo")</f>
        <v/>
      </c>
    </row>
    <row r="18">
      <c r="A18" s="13">
        <f>IFERROR(__xludf.DUMMYFUNCTION("""COMPUTED_VALUE"""),"EGxhVpFU1OI")</f>
        <v/>
      </c>
      <c r="B18" s="13">
        <f>IFERROR(__xludf.DUMMYFUNCTION("""COMPUTED_VALUE"""),"Circuito 7: Provincia de Buenos Aires / Bahía Blanca")</f>
        <v/>
      </c>
      <c r="C18" s="13">
        <f>IFERROR(__xludf.DUMMYFUNCTION("""COMPUTED_VALUE"""),59.0)</f>
        <v/>
      </c>
      <c r="D18" s="13">
        <f>IFERROR(__xludf.DUMMYFUNCTION("""COMPUTED_VALUE"""),"Guía de Turismo 2018/2019")</f>
        <v/>
      </c>
      <c r="E18" s="13">
        <f>IFERROR(__xludf.DUMMYFUNCTION("""COMPUTED_VALUE"""),"Turismo")</f>
        <v/>
      </c>
    </row>
    <row r="19">
      <c r="A19" s="13">
        <f>IFERROR(__xludf.DUMMYFUNCTION("""COMPUTED_VALUE"""),"bg8ySVMa71A")</f>
        <v/>
      </c>
      <c r="B19" s="13">
        <f>IFERROR(__xludf.DUMMYFUNCTION("""COMPUTED_VALUE"""),"Circuito 8 y 9: Provincia de Buenos Aires/ Mar del Plata")</f>
        <v/>
      </c>
      <c r="C19" s="13">
        <f>IFERROR(__xludf.DUMMYFUNCTION("""COMPUTED_VALUE"""),60.0)</f>
        <v/>
      </c>
      <c r="D19" s="13">
        <f>IFERROR(__xludf.DUMMYFUNCTION("""COMPUTED_VALUE"""),"Guía de Turismo 2018/2019")</f>
        <v/>
      </c>
      <c r="E19" s="13">
        <f>IFERROR(__xludf.DUMMYFUNCTION("""COMPUTED_VALUE"""),"Turismo")</f>
        <v/>
      </c>
    </row>
    <row r="20">
      <c r="A20" s="13" t="n"/>
      <c r="B20" s="13" t="n"/>
      <c r="C20" s="13" t="n"/>
      <c r="D20" s="13" t="n"/>
      <c r="E20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76"/>
  <sheetViews>
    <sheetView workbookViewId="0">
      <selection activeCell="A1" sqref="A1"/>
    </sheetView>
  </sheetViews>
  <sheetFormatPr baseColWidth="8" defaultColWidth="12.63" defaultRowHeight="15.75" customHeight="1"/>
  <cols>
    <col width="18.13" customWidth="1" style="17" min="1" max="1"/>
    <col width="50" customWidth="1" style="17" min="2" max="2"/>
    <col width="45.25" customWidth="1" style="17" min="3" max="3"/>
    <col width="26.88" customWidth="1" style="17" min="5" max="5"/>
  </cols>
  <sheetData>
    <row r="1">
      <c r="A1" s="14" t="inlineStr">
        <is>
          <t>num</t>
        </is>
      </c>
      <c r="B1" s="14" t="inlineStr">
        <is>
          <t>dsc_stem</t>
        </is>
      </c>
      <c r="C1" s="14" t="inlineStr">
        <is>
          <t>asignado</t>
        </is>
      </c>
      <c r="D1" s="13" t="inlineStr">
        <is>
          <t>has_subtitle</t>
        </is>
      </c>
    </row>
    <row r="2">
      <c r="A2" s="15" t="n">
        <v>1044</v>
      </c>
      <c r="B2" s="14" t="inlineStr">
        <is>
          <t>DSC_1044 fortalecimiento si</t>
        </is>
      </c>
      <c r="C2" s="13">
        <f t="array" ref="C2">IF(
 COUNTIF(
  SUBSTITUTE(CURADOS!F$2:F1000, ".MOV", ""),
  SUBSTITUTE(B2, ".MOV", "")
 )&gt;0,
 TRUE,
 FALSE
)</f>
        <v/>
      </c>
      <c r="D2" s="13" t="b">
        <v>1</v>
      </c>
    </row>
    <row r="3">
      <c r="A3" s="15" t="n">
        <v>1042</v>
      </c>
      <c r="B3" s="14" t="inlineStr">
        <is>
          <t>DSC_1042 osc si</t>
        </is>
      </c>
      <c r="C3" s="13">
        <f t="array" ref="C3">IF(
 COUNTIF(
  SUBSTITUTE(CURADOS!F$2:F1000, ".MOV", ""),
  SUBSTITUTE(B3, ".MOV", "")
 )&gt;0,
 TRUE,
 FALSE
)</f>
        <v/>
      </c>
      <c r="D3" s="13" t="b">
        <v>1</v>
      </c>
    </row>
    <row r="4">
      <c r="A4" s="15" t="n">
        <v>1028</v>
      </c>
      <c r="B4" s="14" t="inlineStr">
        <is>
          <t>DSC_1028 becas ultima parte</t>
        </is>
      </c>
      <c r="C4" s="13">
        <f t="array" ref="C4">IF(
 COUNTIF(
  SUBSTITUTE(CURADOS!F$2:F1000, ".MOV", ""),
  SUBSTITUTE(B4, ".MOV", "")
 )&gt;0,
 TRUE,
 FALSE
)</f>
        <v/>
      </c>
      <c r="D4" s="13" t="b">
        <v>0</v>
      </c>
    </row>
    <row r="5">
      <c r="A5" s="15" t="n">
        <v>850</v>
      </c>
      <c r="B5" s="14" t="inlineStr">
        <is>
          <t>DSC_0850 p.7172 (VER)</t>
        </is>
      </c>
      <c r="C5" s="13">
        <f t="array" ref="C5">IF(
 COUNTIF(
  SUBSTITUTE(CURADOS!F$2:F1000, ".MOV", ""),
  SUBSTITUTE(B5, ".MOV", "")
 )&gt;0,
 TRUE,
 FALSE
)</f>
        <v/>
      </c>
      <c r="D5" s="13" t="b">
        <v>0</v>
      </c>
    </row>
    <row r="6">
      <c r="A6" s="15" t="n">
        <v>818</v>
      </c>
      <c r="B6" s="14" t="inlineStr">
        <is>
          <t>DSC_0818 Simbolo si mejor</t>
        </is>
      </c>
      <c r="C6" s="13">
        <f t="array" ref="C6">IF(
 COUNTIF(
  SUBSTITUTE(CURADOS!F$2:F1000, ".MOV", ""),
  SUBSTITUTE(B6, ".MOV", "")
 )&gt;0,
 TRUE,
 FALSE
)</f>
        <v/>
      </c>
      <c r="D6" s="13" t="b">
        <v>1</v>
      </c>
    </row>
    <row r="7">
      <c r="A7" s="15" t="n">
        <v>815</v>
      </c>
      <c r="B7" s="14" t="inlineStr">
        <is>
          <t>DSC_0815 Perro guia si ultima parte</t>
        </is>
      </c>
      <c r="C7" s="13">
        <f t="array" ref="C7">IF(
 COUNTIF(
  SUBSTITUTE(CURADOS!F$2:F1000, ".MOV", ""),
  SUBSTITUTE(B7, ".MOV", "")
 )&gt;0,
 TRUE,
 FALSE
)</f>
        <v/>
      </c>
      <c r="D7" s="13" t="b">
        <v>0</v>
      </c>
    </row>
    <row r="8">
      <c r="A8" s="15" t="n">
        <v>795</v>
      </c>
      <c r="B8" s="14" t="inlineStr">
        <is>
          <t>DSC_0795 Sin rta si</t>
        </is>
      </c>
      <c r="C8" s="13">
        <f t="array" ref="C8">IF(
 COUNTIF(
  SUBSTITUTE(CURADOS!F$2:F1000, ".MOV", ""),
  SUBSTITUTE(B8, ".MOV", "")
 )&gt;0,
 TRUE,
 FALSE
)</f>
        <v/>
      </c>
      <c r="D8" s="13" t="b">
        <v>1</v>
      </c>
    </row>
    <row r="9">
      <c r="A9" s="15" t="n">
        <v>773</v>
      </c>
      <c r="B9" s="14" t="inlineStr">
        <is>
          <t>DSC_0773 Pension fliar si</t>
        </is>
      </c>
      <c r="C9" s="13">
        <f t="array" ref="C9">IF(
 COUNTIF(
  SUBSTITUTE(CURADOS!F$2:F1000, ".MOV", ""),
  SUBSTITUTE(B9, ".MOV", "")
 )&gt;0,
 TRUE,
 FALSE
)</f>
        <v/>
      </c>
      <c r="D9" s="13" t="b">
        <v>0</v>
      </c>
    </row>
    <row r="10">
      <c r="A10" s="15" t="n">
        <v>771</v>
      </c>
      <c r="B10" s="14" t="inlineStr">
        <is>
          <t>DSC_0771</t>
        </is>
      </c>
      <c r="C10" s="13">
        <f t="array" ref="C10">IF(
 COUNTIF(
  SUBSTITUTE(CURADOS!F$2:F1000, ".MOV", ""),
  SUBSTITUTE(B10, ".MOV", "")
 )&gt;0,
 TRUE,
 FALSE
)</f>
        <v/>
      </c>
      <c r="D10" s="13" t="b">
        <v>0</v>
      </c>
    </row>
    <row r="11">
      <c r="A11" s="15" t="n">
        <v>769</v>
      </c>
      <c r="B11" s="14" t="inlineStr">
        <is>
          <t>DSC_0769 (2)</t>
        </is>
      </c>
      <c r="C11" s="13">
        <f t="array" ref="C11">IF(
 COUNTIF(
  SUBSTITUTE(CURADOS!F$2:F1000, ".MOV", ""),
  SUBSTITUTE(B11, ".MOV", "")
 )&gt;0,
 TRUE,
 FALSE
)</f>
        <v/>
      </c>
      <c r="D11" s="13" t="b">
        <v>0</v>
      </c>
    </row>
    <row r="12">
      <c r="A12" s="15" t="n">
        <v>769</v>
      </c>
      <c r="B12" s="14" t="inlineStr">
        <is>
          <t>DSC_0769</t>
        </is>
      </c>
      <c r="C12" s="13">
        <f t="array" ref="C12">IF(
 COUNTIF(
  SUBSTITUTE(CURADOS!F$2:F1000, ".MOV", ""),
  SUBSTITUTE(B12, ".MOV", "")
 )&gt;0,
 TRUE,
 FALSE
)</f>
        <v/>
      </c>
      <c r="D12" s="13" t="b">
        <v>0</v>
      </c>
    </row>
    <row r="13">
      <c r="A13" s="15" t="n">
        <v>768</v>
      </c>
      <c r="B13" s="14" t="inlineStr">
        <is>
          <t>DSC_0768</t>
        </is>
      </c>
      <c r="C13" s="13">
        <f t="array" ref="C13">IF(
 COUNTIF(
  SUBSTITUTE(CURADOS!F$2:F1000, ".MOV", ""),
  SUBSTITUTE(B13, ".MOV", "")
 )&gt;0,
 TRUE,
 FALSE
)</f>
        <v/>
      </c>
      <c r="D13" s="13" t="b">
        <v>0</v>
      </c>
    </row>
    <row r="14">
      <c r="A14" s="15" t="n">
        <v>760</v>
      </c>
      <c r="B14" s="14" t="inlineStr">
        <is>
          <t>DSC_0760 PNC quien si</t>
        </is>
      </c>
      <c r="C14" s="13">
        <f t="array" ref="C14">IF(
 COUNTIF(
  SUBSTITUTE(CURADOS!F$2:F1000, ".MOV", ""),
  SUBSTITUTE(B14, ".MOV", "")
 )&gt;0,
 TRUE,
 FALSE
)</f>
        <v/>
      </c>
      <c r="D14" s="13" t="b">
        <v>0</v>
      </c>
    </row>
    <row r="15">
      <c r="A15" s="15" t="n">
        <v>748</v>
      </c>
      <c r="B15" s="14" t="inlineStr">
        <is>
          <t>DSC_0748 PNC1</t>
        </is>
      </c>
      <c r="C15" s="13">
        <f t="array" ref="C15">IF(
 COUNTIF(
  SUBSTITUTE(CURADOS!F$2:F1000, ".MOV", ""),
  SUBSTITUTE(B15, ".MOV", "")
 )&gt;0,
 TRUE,
 FALSE
)</f>
        <v/>
      </c>
      <c r="D15" s="13" t="b">
        <v>0</v>
      </c>
    </row>
    <row r="16">
      <c r="A16" s="15" t="n">
        <v>747</v>
      </c>
      <c r="B16" s="14" t="inlineStr">
        <is>
          <t>DSC_0747 Sist Prev si</t>
        </is>
      </c>
      <c r="C16" s="13">
        <f t="array" ref="C16">IF(
 COUNTIF(
  SUBSTITUTE(CURADOS!F$2:F1000, ".MOV", ""),
  SUBSTITUTE(B16, ".MOV", "")
 )&gt;0,
 TRUE,
 FALSE
)</f>
        <v/>
      </c>
      <c r="D16" s="13" t="b">
        <v>0</v>
      </c>
    </row>
    <row r="17">
      <c r="A17" s="15" t="n">
        <v>741</v>
      </c>
      <c r="B17" s="14" t="inlineStr">
        <is>
          <t>DSC_0741 CUD tramite2 si</t>
        </is>
      </c>
      <c r="C17" s="13">
        <f t="array" ref="C17">IF(
 COUNTIF(
  SUBSTITUTE(CURADOS!F$2:F1000, ".MOV", ""),
  SUBSTITUTE(B17, ".MOV", "")
 )&gt;0,
 TRUE,
 FALSE
)</f>
        <v/>
      </c>
      <c r="D17" s="13" t="b">
        <v>0</v>
      </c>
    </row>
    <row r="18">
      <c r="A18" s="15" t="n">
        <v>737</v>
      </c>
      <c r="B18" s="14" t="inlineStr">
        <is>
          <t>DSC_0737 Apoyo2 primera parte</t>
        </is>
      </c>
      <c r="C18" s="13">
        <f t="array" ref="C18">IF(
 COUNTIF(
  SUBSTITUTE(CURADOS!F$2:F1000, ".MOV", ""),
  SUBSTITUTE(B18, ".MOV", "")
 )&gt;0,
 TRUE,
 FALSE
)</f>
        <v/>
      </c>
      <c r="D18" s="13" t="b">
        <v>0</v>
      </c>
    </row>
    <row r="19">
      <c r="A19" s="15" t="n">
        <v>735</v>
      </c>
      <c r="B19" s="14" t="inlineStr">
        <is>
          <t>DSC_0735 BF3 si</t>
        </is>
      </c>
      <c r="C19" s="13">
        <f t="array" ref="C19">IF(
 COUNTIF(
  SUBSTITUTE(CURADOS!F$2:F1000, ".MOV", ""),
  SUBSTITUTE(B19, ".MOV", "")
 )&gt;0,
 TRUE,
 FALSE
)</f>
        <v/>
      </c>
      <c r="D19" s="13" t="b">
        <v>0</v>
      </c>
    </row>
    <row r="20">
      <c r="A20" s="15" t="n">
        <v>731</v>
      </c>
      <c r="B20" s="14" t="inlineStr">
        <is>
          <t>DSC_0731 CUD dnd si</t>
        </is>
      </c>
      <c r="C20" s="13">
        <f t="array" ref="C20">IF(
 COUNTIF(
  SUBSTITUTE(CURADOS!F$2:F1000, ".MOV", ""),
  SUBSTITUTE(B20, ".MOV", "")
 )&gt;0,
 TRUE,
 FALSE
)</f>
        <v/>
      </c>
      <c r="D20" s="13" t="b">
        <v>0</v>
      </c>
    </row>
    <row r="21">
      <c r="A21" s="15" t="n">
        <v>724</v>
      </c>
      <c r="B21" s="14" t="inlineStr">
        <is>
          <t>DSC_0724 CUD uso5 si</t>
        </is>
      </c>
      <c r="C21" s="13">
        <f t="array" ref="C21">IF(
 COUNTIF(
  SUBSTITUTE(CURADOS!F$2:F1000, ".MOV", ""),
  SUBSTITUTE(B21, ".MOV", "")
 )&gt;0,
 TRUE,
 FALSE
)</f>
        <v/>
      </c>
      <c r="D21" s="13" t="b">
        <v>0</v>
      </c>
    </row>
    <row r="22">
      <c r="A22" s="15" t="n">
        <v>707</v>
      </c>
      <c r="B22" s="14" t="inlineStr">
        <is>
          <t>DSC_0707 Titulo Vida Indep2 si NO SE USA</t>
        </is>
      </c>
      <c r="C22" s="13">
        <f t="array" ref="C22">IF(
 COUNTIF(
  SUBSTITUTE(CURADOS!F$2:F1000, ".MOV", ""),
  SUBSTITUTE(B22, ".MOV", "")
 )&gt;0,
 TRUE,
 FALSE
)</f>
        <v/>
      </c>
      <c r="D22" s="13" t="b">
        <v>0</v>
      </c>
    </row>
    <row r="23">
      <c r="A23" s="15" t="n">
        <v>705</v>
      </c>
      <c r="B23" s="14" t="inlineStr">
        <is>
          <t>DSC_0705 Titulo Educacion</t>
        </is>
      </c>
      <c r="C23" s="13">
        <f t="array" ref="C23">IF(
 COUNTIF(
  SUBSTITUTE(CURADOS!F$2:F1000, ".MOV", ""),
  SUBSTITUTE(B23, ".MOV", "")
 )&gt;0,
 TRUE,
 FALSE
)</f>
        <v/>
      </c>
      <c r="D23" s="13" t="b">
        <v>0</v>
      </c>
    </row>
    <row r="24">
      <c r="A24" s="15" t="n">
        <v>704</v>
      </c>
      <c r="B24" s="14" t="inlineStr">
        <is>
          <t>DSC_0704 Titulo Beneficios Fisc (ver)</t>
        </is>
      </c>
      <c r="C24" s="13">
        <f t="array" ref="C24">IF(
 COUNTIF(
  SUBSTITUTE(CURADOS!F$2:F1000, ".MOV", ""),
  SUBSTITUTE(B24, ".MOV", "")
 )&gt;0,
 TRUE,
 FALSE
)</f>
        <v/>
      </c>
      <c r="D24" s="13" t="b">
        <v>0</v>
      </c>
    </row>
    <row r="25">
      <c r="A25" s="15" t="n">
        <v>703</v>
      </c>
      <c r="B25" s="14" t="inlineStr">
        <is>
          <t>DSC_0703 Titulo SSZonales (ver)</t>
        </is>
      </c>
      <c r="C25" s="13">
        <f t="array" ref="C25">IF(
 COUNTIF(
  SUBSTITUTE(CURADOS!F$2:F1000, ".MOV", ""),
  SUBSTITUTE(B25, ".MOV", "")
 )&gt;0,
 TRUE,
 FALSE
)</f>
        <v/>
      </c>
      <c r="D25" s="13" t="b">
        <v>0</v>
      </c>
    </row>
    <row r="26">
      <c r="A26" s="15" t="n">
        <v>702</v>
      </c>
      <c r="B26" s="14" t="inlineStr">
        <is>
          <t>DSC_0702 Titulo Salud Transp Acc</t>
        </is>
      </c>
      <c r="C26" s="13">
        <f t="array" ref="C26">IF(
 COUNTIF(
  SUBSTITUTE(CURADOS!F$2:F1000, ".MOV", ""),
  SUBSTITUTE(B26, ".MOV", "")
 )&gt;0,
 TRUE,
 FALSE
)</f>
        <v/>
      </c>
      <c r="D26" s="13" t="b">
        <v>0</v>
      </c>
    </row>
    <row r="27">
      <c r="A27" s="15" t="n">
        <v>700</v>
      </c>
      <c r="B27" s="14" t="inlineStr">
        <is>
          <t>DSC_0700 Titulo CUD</t>
        </is>
      </c>
      <c r="C27" s="13">
        <f t="array" ref="C27">IF(
 COUNTIF(
  SUBSTITUTE(CURADOS!F$2:F1000, ".MOV", ""),
  SUBSTITUTE(B27, ".MOV", "")
 )&gt;0,
 TRUE,
 FALSE
)</f>
        <v/>
      </c>
      <c r="D27" s="13" t="b">
        <v>0</v>
      </c>
    </row>
    <row r="28">
      <c r="A28" s="15" t="n">
        <v>1035</v>
      </c>
      <c r="B28" s="14" t="inlineStr">
        <is>
          <t>DSC_1035 programas nacion</t>
        </is>
      </c>
      <c r="C28" s="13">
        <f t="array" ref="C28">IF(
 COUNTIF(
  SUBSTITUTE(CURADOS!F$2:F1000, ".MOV", ""),
  SUBSTITUTE(B28, ".MOV", "")
 )&gt;0,
 TRUE,
 FALSE
)</f>
        <v/>
      </c>
      <c r="D28" s="13" t="b">
        <v>1</v>
      </c>
    </row>
    <row r="29">
      <c r="A29" s="15" t="n">
        <v>1034</v>
      </c>
      <c r="B29" s="14" t="inlineStr">
        <is>
          <t>DSC_1034 ferias si</t>
        </is>
      </c>
      <c r="C29" s="13">
        <f t="array" ref="C29">IF(
 COUNTIF(
  SUBSTITUTE(CURADOS!F$2:F1000, ".MOV", ""),
  SUBSTITUTE(B29, ".MOV", "")
 )&gt;0,
 TRUE,
 FALSE
)</f>
        <v/>
      </c>
      <c r="D29" s="13" t="b">
        <v>1</v>
      </c>
    </row>
    <row r="30">
      <c r="A30" s="15" t="n">
        <v>1031</v>
      </c>
      <c r="B30" s="14" t="inlineStr">
        <is>
          <t>DSC_1031pquenos com si</t>
        </is>
      </c>
      <c r="C30" s="13">
        <f t="array" ref="C30">IF(
 COUNTIF(
  SUBSTITUTE(CURADOS!F$2:F1000, ".MOV", ""),
  SUBSTITUTE(B30, ".MOV", "")
 )&gt;0,
 TRUE,
 FALSE
)</f>
        <v/>
      </c>
      <c r="D30" s="13" t="b">
        <v>1</v>
      </c>
    </row>
    <row r="31">
      <c r="A31" s="15" t="n">
        <v>1026</v>
      </c>
      <c r="B31" s="14" t="inlineStr">
        <is>
          <t>DSC_1026 becas primera parte</t>
        </is>
      </c>
      <c r="C31" s="13">
        <f t="array" ref="C31">IF(
 COUNTIF(
  SUBSTITUTE(CURADOS!F$2:F1000, ".MOV", ""),
  SUBSTITUTE(B31, ".MOV", "")
 )&gt;0,
 TRUE,
 FALSE
)</f>
        <v/>
      </c>
      <c r="D31" s="13" t="b">
        <v>1</v>
      </c>
    </row>
    <row r="32">
      <c r="A32" s="15" t="n">
        <v>884</v>
      </c>
      <c r="B32" s="14" t="inlineStr">
        <is>
          <t>DSC_0884 p.108 rul</t>
        </is>
      </c>
      <c r="C32" s="13">
        <f t="array" ref="C32">IF(
 COUNTIF(
  SUBSTITUTE(CURADOS!F$2:F1000, ".MOV", ""),
  SUBSTITUTE(B32, ".MOV", "")
 )&gt;0,
 TRUE,
 FALSE
)</f>
        <v/>
      </c>
      <c r="D32" s="13" t="b">
        <v>1</v>
      </c>
    </row>
    <row r="33">
      <c r="A33" s="15" t="n">
        <v>882</v>
      </c>
      <c r="B33" s="14" t="inlineStr">
        <is>
          <t>DSC_0882 p,105 beo</t>
        </is>
      </c>
      <c r="C33" s="13">
        <f t="array" ref="C33">IF(
 COUNTIF(
  SUBSTITUTE(CURADOS!F$2:F1000, ".MOV", ""),
  SUBSTITUTE(B33, ".MOV", "")
 )&gt;0,
 TRUE,
 FALSE
)</f>
        <v/>
      </c>
      <c r="D33" s="13" t="b">
        <v>1</v>
      </c>
    </row>
    <row r="34">
      <c r="A34" s="15" t="n">
        <v>881</v>
      </c>
      <c r="B34" s="14" t="inlineStr">
        <is>
          <t>DSC_0881 p.96 material en braille</t>
        </is>
      </c>
      <c r="C34" s="13">
        <f t="array" ref="C34">IF(
 COUNTIF(
  SUBSTITUTE(CURADOS!F$2:F1000, ".MOV", ""),
  SUBSTITUTE(B34, ".MOV", "")
 )&gt;0,
 TRUE,
 FALSE
)</f>
        <v/>
      </c>
      <c r="D34" s="13" t="b">
        <v>1</v>
      </c>
    </row>
    <row r="35">
      <c r="A35" s="15" t="n">
        <v>878</v>
      </c>
      <c r="B35" s="14" t="inlineStr">
        <is>
          <t>DSC_0878 p. 95 escuelas hospitalarias</t>
        </is>
      </c>
      <c r="C35" s="13">
        <f t="array" ref="C35">IF(
 COUNTIF(
  SUBSTITUTE(CURADOS!F$2:F1000, ".MOV", ""),
  SUBSTITUTE(B35, ".MOV", "")
 )&gt;0,
 TRUE,
 FALSE
)</f>
        <v/>
      </c>
      <c r="D35" s="13" t="b">
        <v>1</v>
      </c>
    </row>
    <row r="36">
      <c r="A36" s="15" t="n">
        <v>875</v>
      </c>
      <c r="B36" s="14" t="inlineStr">
        <is>
          <t>DSC_0875 p.92 cepapi _ rehacer</t>
        </is>
      </c>
      <c r="C36" s="13">
        <f t="array" ref="C36">IF(
 COUNTIF(
  SUBSTITUTE(CURADOS!F$2:F1000, ".MOV", ""),
  SUBSTITUTE(B36, ".MOV", "")
 )&gt;0,
 TRUE,
 FALSE
)</f>
        <v/>
      </c>
      <c r="D36" s="13" t="b">
        <v>0</v>
      </c>
    </row>
    <row r="37">
      <c r="A37" s="15" t="n">
        <v>873</v>
      </c>
      <c r="B37" s="14" t="inlineStr">
        <is>
          <t>DSC_0873 p.87 que apoyos te da el Ministerio de Educacion</t>
        </is>
      </c>
      <c r="C37" s="13">
        <f t="array" ref="C37">IF(
 COUNTIF(
  SUBSTITUTE(CURADOS!F$2:F1000, ".MOV", ""),
  SUBSTITUTE(B37, ".MOV", "")
 )&gt;0,
 TRUE,
 FALSE
)</f>
        <v/>
      </c>
      <c r="D37" s="13" t="b">
        <v>1</v>
      </c>
    </row>
    <row r="38">
      <c r="A38" s="15" t="n">
        <v>871</v>
      </c>
      <c r="B38" s="14" t="inlineStr">
        <is>
          <t>DSC_0871 p.86 registro docentes apoyo</t>
        </is>
      </c>
      <c r="C38" s="13">
        <f t="array" ref="C38">IF(
 COUNTIF(
  SUBSTITUTE(CURADOS!F$2:F1000, ".MOV", ""),
  SUBSTITUTE(B38, ".MOV", "")
 )&gt;0,
 TRUE,
 FALSE
)</f>
        <v/>
      </c>
      <c r="D38" s="13" t="b">
        <v>1</v>
      </c>
    </row>
    <row r="39">
      <c r="A39" s="15" t="n">
        <v>866</v>
      </c>
      <c r="B39" s="14" t="inlineStr">
        <is>
          <t>DSC_0866 p.85 libros escolares accesibles</t>
        </is>
      </c>
      <c r="C39" s="13">
        <f t="array" ref="C39">IF(
 COUNTIF(
  SUBSTITUTE(CURADOS!F$2:F1000, ".MOV", ""),
  SUBSTITUTE(B39, ".MOV", "")
 )&gt;0,
 TRUE,
 FALSE
)</f>
        <v/>
      </c>
      <c r="D39" s="13" t="b">
        <v>1</v>
      </c>
    </row>
    <row r="40">
      <c r="A40" s="15" t="n">
        <v>862</v>
      </c>
      <c r="B40" s="14" t="inlineStr">
        <is>
          <t>DSC_0862 p. 85 apoyos copidis educacion</t>
        </is>
      </c>
      <c r="C40" s="13">
        <f t="array" ref="C40">IF(
 COUNTIF(
  SUBSTITUTE(CURADOS!F$2:F1000, ".MOV", ""),
  SUBSTITUTE(B40, ".MOV", "")
 )&gt;0,
 TRUE,
 FALSE
)</f>
        <v/>
      </c>
      <c r="D40" s="13" t="b">
        <v>1</v>
      </c>
    </row>
    <row r="41">
      <c r="A41" s="15" t="n">
        <v>858</v>
      </c>
      <c r="B41" s="14" t="inlineStr">
        <is>
          <t>DSC_0858 p. 75 ayuda tecnica</t>
        </is>
      </c>
      <c r="C41" s="13">
        <f t="array" ref="C41">IF(
 COUNTIF(
  SUBSTITUTE(CURADOS!F$2:F1000, ".MOV", ""),
  SUBSTITUTE(B41, ".MOV", "")
 )&gt;0,
 TRUE,
 FALSE
)</f>
        <v/>
      </c>
      <c r="D41" s="13" t="b">
        <v>1</v>
      </c>
    </row>
    <row r="42">
      <c r="A42" s="15" t="n">
        <v>856</v>
      </c>
      <c r="B42" s="14" t="inlineStr">
        <is>
          <t>DSC_0856 p.74</t>
        </is>
      </c>
      <c r="C42" s="13">
        <f t="array" ref="C42">IF(
 COUNTIF(
  SUBSTITUTE(CURADOS!F$2:F1000, ".MOV", ""),
  SUBSTITUTE(B42, ".MOV", "")
 )&gt;0,
 TRUE,
 FALSE
)</f>
        <v/>
      </c>
      <c r="D42" s="13" t="b">
        <v>1</v>
      </c>
    </row>
    <row r="43">
      <c r="A43" s="15" t="n">
        <v>851</v>
      </c>
      <c r="B43" s="14" t="inlineStr">
        <is>
          <t>DSC_0851 p.73</t>
        </is>
      </c>
      <c r="C43" s="13">
        <f t="array" ref="C43">IF(
 COUNTIF(
  SUBSTITUTE(CURADOS!F$2:F1000, ".MOV", ""),
  SUBSTITUTE(B43, ".MOV", "")
 )&gt;0,
 TRUE,
 FALSE
)</f>
        <v/>
      </c>
      <c r="D43" s="13" t="b">
        <v>1</v>
      </c>
    </row>
    <row r="44">
      <c r="A44" s="15" t="n">
        <v>848</v>
      </c>
      <c r="B44" s="14" t="inlineStr">
        <is>
          <t>DSC_0848 p.70 BAapp</t>
        </is>
      </c>
      <c r="C44" s="13">
        <f t="array" ref="C44">IF(
 COUNTIF(
  SUBSTITUTE(CURADOS!F$2:F1000, ".MOV", ""),
  SUBSTITUTE(B44, ".MOV", "")
 )&gt;0,
 TRUE,
 FALSE
)</f>
        <v/>
      </c>
      <c r="D44" s="13" t="b">
        <v>1</v>
      </c>
    </row>
    <row r="45">
      <c r="A45" s="15" t="n">
        <v>847</v>
      </c>
      <c r="B45" s="14" t="inlineStr">
        <is>
          <t>DSC_0847 p.69</t>
        </is>
      </c>
      <c r="C45" s="13">
        <f t="array" ref="C45">IF(
 COUNTIF(
  SUBSTITUTE(CURADOS!F$2:F1000, ".MOV", ""),
  SUBSTITUTE(B45, ".MOV", "")
 )&gt;0,
 TRUE,
 FALSE
)</f>
        <v/>
      </c>
      <c r="D45" s="13" t="b">
        <v>1</v>
      </c>
    </row>
    <row r="46">
      <c r="A46" s="15" t="n">
        <v>846</v>
      </c>
      <c r="B46" s="14" t="inlineStr">
        <is>
          <t>DSC_0846 p.68 lugr publico</t>
        </is>
      </c>
      <c r="C46" s="13">
        <f t="array" ref="C46">IF(
 COUNTIF(
  SUBSTITUTE(CURADOS!F$2:F1000, ".MOV", ""),
  SUBSTITUTE(B46, ".MOV", "")
 )&gt;0,
 TRUE,
 FALSE
)</f>
        <v/>
      </c>
      <c r="D46" s="13" t="b">
        <v>1</v>
      </c>
    </row>
    <row r="47">
      <c r="A47" s="15" t="n">
        <v>845</v>
      </c>
      <c r="B47" s="14" t="inlineStr">
        <is>
          <t>DSC_0845 p.68 edificio accesible</t>
        </is>
      </c>
      <c r="C47" s="13">
        <f t="array" ref="C47">IF(
 COUNTIF(
  SUBSTITUTE(CURADOS!F$2:F1000, ".MOV", ""),
  SUBSTITUTE(B47, ".MOV", "")
 )&gt;0,
 TRUE,
 FALSE
)</f>
        <v/>
      </c>
      <c r="D47" s="13" t="b">
        <v>1</v>
      </c>
    </row>
    <row r="48">
      <c r="A48" s="15" t="n">
        <v>841</v>
      </c>
      <c r="B48" s="14" t="inlineStr">
        <is>
          <t>DSC_0841 p.66</t>
        </is>
      </c>
      <c r="C48" s="13">
        <f t="array" ref="C48">IF(
 COUNTIF(
  SUBSTITUTE(CURADOS!F$2:F1000, ".MOV", ""),
  SUBSTITUTE(B48, ".MOV", "")
 )&gt;0,
 TRUE,
 FALSE
)</f>
        <v/>
      </c>
      <c r="D48" s="13" t="b">
        <v>1</v>
      </c>
    </row>
    <row r="49">
      <c r="A49" s="15" t="n">
        <v>839</v>
      </c>
      <c r="B49" s="14" t="inlineStr">
        <is>
          <t>DSC_0839 p.65 accesibilidad</t>
        </is>
      </c>
      <c r="C49" s="13">
        <f t="array" ref="C49">IF(
 COUNTIF(
  SUBSTITUTE(CURADOS!F$2:F1000, ".MOV", ""),
  SUBSTITUTE(B49, ".MOV", "")
 )&gt;0,
 TRUE,
 FALSE
)</f>
        <v/>
      </c>
      <c r="D49" s="13" t="b">
        <v>1</v>
      </c>
    </row>
    <row r="50">
      <c r="A50" s="15" t="n">
        <v>826</v>
      </c>
      <c r="B50" s="14" t="inlineStr">
        <is>
          <t>DSC_0826 Franquicia si</t>
        </is>
      </c>
      <c r="C50" s="13">
        <f t="array" ref="C50">IF(
 COUNTIF(
  SUBSTITUTE(CURADOS!F$2:F1000, ".MOV", ""),
  SUBSTITUTE(B50, ".MOV", "")
 )&gt;0,
 TRUE,
 FALSE
)</f>
        <v/>
      </c>
      <c r="D50" s="13" t="b">
        <v>1</v>
      </c>
    </row>
    <row r="51">
      <c r="A51" s="15" t="n">
        <v>824</v>
      </c>
      <c r="B51" s="14" t="inlineStr">
        <is>
          <t>DSC_0824 Reserva estac CONFIRMAR SI</t>
        </is>
      </c>
      <c r="C51" s="13">
        <f t="array" ref="C51">IF(
 COUNTIF(
  SUBSTITUTE(CURADOS!F$2:F1000, ".MOV", ""),
  SUBSTITUTE(B51, ".MOV", "")
 )&gt;0,
 TRUE,
 FALSE
)</f>
        <v/>
      </c>
      <c r="D51" s="13" t="b">
        <v>1</v>
      </c>
    </row>
    <row r="52">
      <c r="A52" s="15" t="n">
        <v>812</v>
      </c>
      <c r="B52" s="14" t="inlineStr">
        <is>
          <t>DSC_0812 Perro guia primera parte</t>
        </is>
      </c>
      <c r="C52" s="13">
        <f t="array" ref="C52">IF(
 COUNTIF(
  SUBSTITUTE(CURADOS!F$2:F1000, ".MOV", ""),
  SUBSTITUTE(B52, ".MOV", "")
 )&gt;0,
 TRUE,
 FALSE
)</f>
        <v/>
      </c>
      <c r="D52" s="13" t="b">
        <v>1</v>
      </c>
    </row>
    <row r="53">
      <c r="A53" s="15" t="n">
        <v>809</v>
      </c>
      <c r="B53" s="14" t="inlineStr">
        <is>
          <t>DSC_0809 Peaje libre si</t>
        </is>
      </c>
      <c r="C53" s="13">
        <f t="array" ref="C53">IF(
 COUNTIF(
  SUBSTITUTE(CURADOS!F$2:F1000, ".MOV", ""),
  SUBSTITUTE(B53, ".MOV", "")
 )&gt;0,
 TRUE,
 FALSE
)</f>
        <v/>
      </c>
      <c r="D53" s="13" t="b">
        <v>1</v>
      </c>
    </row>
    <row r="54">
      <c r="A54" s="15" t="n">
        <v>802</v>
      </c>
      <c r="B54" s="14" t="inlineStr">
        <is>
          <t>DSC_0802 Pasaje gratis si</t>
        </is>
      </c>
      <c r="C54" s="13">
        <f t="array" ref="C54">IF(
 COUNTIF(
  SUBSTITUTE(CURADOS!F$2:F1000, ".MOV", ""),
  SUBSTITUTE(B54, ".MOV", "")
 )&gt;0,
 TRUE,
 FALSE
)</f>
        <v/>
      </c>
      <c r="D54" s="13" t="b">
        <v>1</v>
      </c>
    </row>
    <row r="55">
      <c r="A55" s="15" t="n">
        <v>799</v>
      </c>
      <c r="B55" s="14" t="inlineStr">
        <is>
          <t>DSC_0799 Incluir Salud tramite si</t>
        </is>
      </c>
      <c r="C55" s="13">
        <f t="array" ref="C55">IF(
 COUNTIF(
  SUBSTITUTE(CURADOS!F$2:F1000, ".MOV", ""),
  SUBSTITUTE(B55, ".MOV", "")
 )&gt;0,
 TRUE,
 FALSE
)</f>
        <v/>
      </c>
      <c r="D55" s="13" t="b">
        <v>1</v>
      </c>
    </row>
    <row r="56">
      <c r="A56" s="15" t="n">
        <v>798</v>
      </c>
      <c r="B56" s="14" t="inlineStr">
        <is>
          <t>DSC_0798 Incluir Salud que es si</t>
        </is>
      </c>
      <c r="C56" s="13">
        <f t="array" ref="C56">IF(
 COUNTIF(
  SUBSTITUTE(CURADOS!F$2:F1000, ".MOV", ""),
  SUBSTITUTE(B56, ".MOV", "")
 )&gt;0,
 TRUE,
 FALSE
)</f>
        <v/>
      </c>
      <c r="D56" s="13" t="b">
        <v>1</v>
      </c>
    </row>
    <row r="57">
      <c r="A57" s="15" t="n">
        <v>797</v>
      </c>
      <c r="B57" s="14" t="inlineStr">
        <is>
          <t>DSC_0797 Plan Salud Ciudad si</t>
        </is>
      </c>
      <c r="C57" s="13">
        <f t="array" ref="C57">IF(
 COUNTIF(
  SUBSTITUTE(CURADOS!F$2:F1000, ".MOV", ""),
  SUBSTITUTE(B57, ".MOV", "")
 )&gt;0,
 TRUE,
 FALSE
)</f>
        <v/>
      </c>
      <c r="D57" s="13" t="b">
        <v>1</v>
      </c>
    </row>
    <row r="58">
      <c r="A58" s="15" t="n">
        <v>792</v>
      </c>
      <c r="B58" s="14" t="inlineStr">
        <is>
          <t>DSC_0792 Serv Salud basico si</t>
        </is>
      </c>
      <c r="C58" s="13">
        <f t="array" ref="C58">IF(
 COUNTIF(
  SUBSTITUTE(CURADOS!F$2:F1000, ".MOV", ""),
  SUBSTITUTE(B58, ".MOV", "")
 )&gt;0,
 TRUE,
 FALSE
)</f>
        <v/>
      </c>
      <c r="D58" s="13" t="b">
        <v>0</v>
      </c>
    </row>
    <row r="59">
      <c r="A59" s="15" t="n">
        <v>789</v>
      </c>
      <c r="B59" s="14" t="inlineStr">
        <is>
          <t>DSC_0789 Serv Salud basico si</t>
        </is>
      </c>
      <c r="C59" s="13">
        <f t="array" ref="C59">IF(
 COUNTIF(
  SUBSTITUTE(CURADOS!F$2:F1000, ".MOV", ""),
  SUBSTITUTE(B59, ".MOV", "")
 )&gt;0,
 TRUE,
 FALSE
)</f>
        <v/>
      </c>
      <c r="D59" s="13" t="b">
        <v>0</v>
      </c>
    </row>
    <row r="60">
      <c r="A60" s="15" t="n">
        <v>785</v>
      </c>
      <c r="B60" s="14" t="inlineStr">
        <is>
          <t>DSC_0785 Retiro si</t>
        </is>
      </c>
      <c r="C60" s="13">
        <f t="array" ref="C60">IF(
 COUNTIF(
  SUBSTITUTE(CURADOS!F$2:F1000, ".MOV", ""),
  SUBSTITUTE(B60, ".MOV", "")
 )&gt;0,
 TRUE,
 FALSE
)</f>
        <v/>
      </c>
      <c r="D60" s="13" t="b">
        <v>0</v>
      </c>
    </row>
    <row r="61">
      <c r="A61" s="15" t="n">
        <v>780</v>
      </c>
      <c r="B61" s="14" t="inlineStr">
        <is>
          <t>DSC_0780 Jubil disc edad si</t>
        </is>
      </c>
      <c r="C61" s="13">
        <f t="array" ref="C61">IF(
 COUNTIF(
  SUBSTITUTE(CURADOS!F$2:F1000, ".MOV", ""),
  SUBSTITUTE(B61, ".MOV", "")
 )&gt;0,
 TRUE,
 FALSE
)</f>
        <v/>
      </c>
      <c r="D61" s="13" t="b">
        <v>0</v>
      </c>
    </row>
    <row r="62">
      <c r="A62" s="15" t="n">
        <v>775</v>
      </c>
      <c r="B62" s="14" t="inlineStr">
        <is>
          <t>DSC_0775 Jubil disc si</t>
        </is>
      </c>
      <c r="C62" s="13">
        <f t="array" ref="C62">IF(
 COUNTIF(
  SUBSTITUTE(CURADOS!F$2:F1000, ".MOV", ""),
  SUBSTITUTE(B62, ".MOV", "")
 )&gt;0,
 TRUE,
 FALSE
)</f>
        <v/>
      </c>
      <c r="D62" s="13" t="b">
        <v>0</v>
      </c>
    </row>
    <row r="63">
      <c r="A63" s="15" t="n">
        <v>771</v>
      </c>
      <c r="B63" s="14" t="inlineStr">
        <is>
          <t>DSC_0771 AHHD si</t>
        </is>
      </c>
      <c r="C63" s="13">
        <f t="array" ref="C63">IF(
 COUNTIF(
  SUBSTITUTE(CURADOS!F$2:F1000, ".MOV", ""),
  SUBSTITUTE(B63, ".MOV", "")
 )&gt;0,
 TRUE,
 FALSE
)</f>
        <v/>
      </c>
      <c r="D63" s="13" t="b">
        <v>0</v>
      </c>
    </row>
    <row r="64">
      <c r="A64" s="15" t="n">
        <v>765</v>
      </c>
      <c r="B64" s="14" t="inlineStr">
        <is>
          <t>DSC_0765 CMO si</t>
        </is>
      </c>
      <c r="C64" s="13">
        <f t="array" ref="C64">IF(
 COUNTIF(
  SUBSTITUTE(CURADOS!F$2:F1000, ".MOV", ""),
  SUBSTITUTE(B64, ".MOV", "")
 )&gt;0,
 TRUE,
 FALSE
)</f>
        <v/>
      </c>
      <c r="D64" s="13" t="b">
        <v>0</v>
      </c>
    </row>
    <row r="65">
      <c r="A65" s="15" t="n">
        <v>761</v>
      </c>
      <c r="B65" s="14" t="inlineStr">
        <is>
          <t>DSC_0761 PNC dnd si</t>
        </is>
      </c>
      <c r="C65" s="13">
        <f t="array" ref="C65">IF(
 COUNTIF(
  SUBSTITUTE(CURADOS!F$2:F1000, ".MOV", ""),
  SUBSTITUTE(B65, ".MOV", "")
 )&gt;0,
 TRUE,
 FALSE
)</f>
        <v/>
      </c>
      <c r="D65" s="13" t="b">
        <v>0</v>
      </c>
    </row>
    <row r="66">
      <c r="A66" s="15" t="n">
        <v>749</v>
      </c>
      <c r="B66" s="14" t="inlineStr">
        <is>
          <t>DSC_0749 PNC2</t>
        </is>
      </c>
      <c r="C66" s="13">
        <f t="array" ref="C66">IF(
 COUNTIF(
  SUBSTITUTE(CURADOS!F$2:F1000, ".MOV", ""),
  SUBSTITUTE(B66, ".MOV", "")
 )&gt;0,
 TRUE,
 FALSE
)</f>
        <v/>
      </c>
      <c r="D66" s="13" t="b">
        <v>0</v>
      </c>
    </row>
    <row r="67">
      <c r="A67" s="15" t="n">
        <v>746</v>
      </c>
      <c r="B67" s="14" t="inlineStr">
        <is>
          <t>DSC_0746 CUD pierde si</t>
        </is>
      </c>
      <c r="C67" s="13">
        <f t="array" ref="C67">IF(
 COUNTIF(
  SUBSTITUTE(CURADOS!F$2:F1000, ".MOV", ""),
  SUBSTITUTE(B67, ".MOV", "")
 )&gt;0,
 TRUE,
 FALSE
)</f>
        <v/>
      </c>
      <c r="D67" s="13" t="b">
        <v>0</v>
      </c>
    </row>
    <row r="68">
      <c r="A68" s="15" t="n">
        <v>740</v>
      </c>
      <c r="B68" s="14" t="inlineStr">
        <is>
          <t>DSC_0740 CUD tramite1si</t>
        </is>
      </c>
      <c r="C68" s="13">
        <f t="array" ref="C68">IF(
 COUNTIF(
  SUBSTITUTE(CURADOS!F$2:F1000, ".MOV", ""),
  SUBSTITUTE(B68, ".MOV", "")
 )&gt;0,
 TRUE,
 FALSE
)</f>
        <v/>
      </c>
      <c r="D68" s="13" t="b">
        <v>0</v>
      </c>
    </row>
    <row r="69">
      <c r="A69" s="15" t="n">
        <v>738</v>
      </c>
      <c r="B69" s="14" t="inlineStr">
        <is>
          <t>DSC_0738 Apoyo3 final</t>
        </is>
      </c>
      <c r="C69" s="13">
        <f t="array" ref="C69">IF(
 COUNTIF(
  SUBSTITUTE(CURADOS!F$2:F1000, ".MOV", ""),
  SUBSTITUTE(B69, ".MOV", "")
 )&gt;0,
 TRUE,
 FALSE
)</f>
        <v/>
      </c>
      <c r="D69" s="13" t="b">
        <v>0</v>
      </c>
    </row>
    <row r="70">
      <c r="A70" s="15" t="n">
        <v>730</v>
      </c>
      <c r="B70" s="14" t="inlineStr">
        <is>
          <t>DSC_0730 transp4 ver</t>
        </is>
      </c>
      <c r="C70" s="13">
        <f t="array" ref="C70">IF(
 COUNTIF(
  SUBSTITUTE(CURADOS!F$2:F1000, ".MOV", ""),
  SUBSTITUTE(B70, ".MOV", "")
 )&gt;0,
 TRUE,
 FALSE
)</f>
        <v/>
      </c>
      <c r="D70" s="13" t="b">
        <v>0</v>
      </c>
    </row>
    <row r="71">
      <c r="A71" s="15" t="n">
        <v>726</v>
      </c>
      <c r="B71" s="14" t="inlineStr">
        <is>
          <t>DSC_0726 salud2 si</t>
        </is>
      </c>
      <c r="C71" s="13">
        <f t="array" ref="C71">IF(
 COUNTIF(
  SUBSTITUTE(CURADOS!F$2:F1000, ".MOV", ""),
  SUBSTITUTE(B71, ".MOV", "")
 )&gt;0,
 TRUE,
 FALSE
)</f>
        <v/>
      </c>
      <c r="D71" s="13" t="b">
        <v>0</v>
      </c>
    </row>
    <row r="72">
      <c r="A72" s="15" t="n">
        <v>719</v>
      </c>
      <c r="B72" s="14" t="inlineStr">
        <is>
          <t>DSC_0719 CUD tram4 si</t>
        </is>
      </c>
      <c r="C72" s="13">
        <f t="array" ref="C72">IF(
 COUNTIF(
  SUBSTITUTE(CURADOS!F$2:F1000, ".MOV", ""),
  SUBSTITUTE(B72, ".MOV", "")
 )&gt;0,
 TRUE,
 FALSE
)</f>
        <v/>
      </c>
      <c r="D72" s="13" t="b">
        <v>0</v>
      </c>
    </row>
    <row r="73">
      <c r="A73" s="15" t="n">
        <v>718</v>
      </c>
      <c r="B73" s="14" t="inlineStr">
        <is>
          <t>DSC_0718 CUD tram3 no c</t>
        </is>
      </c>
      <c r="C73" s="13">
        <f t="array" ref="C73">IF(
 COUNTIF(
  SUBSTITUTE(CURADOS!F$2:F1000, ".MOV", ""),
  SUBSTITUTE(B73, ".MOV", "")
 )&gt;0,
 TRUE,
 FALSE
)</f>
        <v/>
      </c>
      <c r="D73" s="13" t="b">
        <v>0</v>
      </c>
    </row>
    <row r="74">
      <c r="A74" s="15" t="n">
        <v>715</v>
      </c>
      <c r="B74" s="14" t="inlineStr">
        <is>
          <t>DSC_0715 PCD5 si</t>
        </is>
      </c>
      <c r="C74" s="13">
        <f t="array" ref="C74">IF(
 COUNTIF(
  SUBSTITUTE(CURADOS!F$2:F1000, ".MOV", ""),
  SUBSTITUTE(B74, ".MOV", "")
 )&gt;0,
 TRUE,
 FALSE
)</f>
        <v/>
      </c>
      <c r="D74" s="13" t="b">
        <v>0</v>
      </c>
    </row>
    <row r="75">
      <c r="A75" s="15" t="n">
        <v>710</v>
      </c>
      <c r="B75" s="14" t="inlineStr">
        <is>
          <t>DSC_0710 CUD3 si (ver)</t>
        </is>
      </c>
      <c r="C75" s="13">
        <f t="array" ref="C75">IF(
 COUNTIF(
  SUBSTITUTE(CURADOS!F$2:F1000, ".MOV", ""),
  SUBSTITUTE(B75, ".MOV", "")
 )&gt;0,
 TRUE,
 FALSE
)</f>
        <v/>
      </c>
      <c r="D75" s="13" t="b">
        <v>0</v>
      </c>
    </row>
    <row r="76">
      <c r="A76" s="15" t="n">
        <v>701</v>
      </c>
      <c r="B76" s="14" t="inlineStr">
        <is>
          <t>DSC_0701 Titulo Sistema Prev</t>
        </is>
      </c>
      <c r="C76" s="13">
        <f t="array" ref="C76">IF(
 COUNTIF(
  SUBSTITUTE(CURADOS!F$2:F1000, ".MOV", ""),
  SUBSTITUTE(B76, ".MOV", "")
 )&gt;0,
 TRUE,
 FALSE
)</f>
        <v/>
      </c>
      <c r="D76" s="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inlineStr">
        <is>
          <t>playlist</t>
        </is>
      </c>
    </row>
    <row r="2">
      <c r="A2" s="16" t="inlineStr">
        <is>
          <t>https://www.youtube.com/watch?v=p34PDLyzY2U&amp;list=PLbwR2bewXC0udCzEIqSKiXOm1qUNZ0sVL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40" customWidth="1" style="17" min="1" max="1"/>
    <col width="15" customWidth="1" style="17" min="2" max="2"/>
    <col width="55" customWidth="1" style="17" min="3" max="3"/>
    <col width="14" customWidth="1" style="17" min="4" max="4"/>
    <col width="12" customWidth="1" style="17" min="5" max="5"/>
    <col width="14" customWidth="1" style="17" min="6" max="6"/>
    <col width="14" customWidth="1" style="17" min="7" max="7"/>
    <col width="50" customWidth="1" style="17" min="8" max="8"/>
    <col width="16" customWidth="1" style="17" min="9" max="9"/>
    <col width="45" customWidth="1" style="17" min="10" max="10"/>
    <col width="12" customWidth="1" style="17" min="11" max="11"/>
    <col width="14" customWidth="1" style="17" min="12" max="12"/>
    <col width="12" customWidth="1" style="17" min="13" max="13"/>
  </cols>
  <sheetData>
    <row r="1">
      <c r="A1" s="18" t="inlineStr">
        <is>
          <t>playlist</t>
        </is>
      </c>
      <c r="B1" s="18" t="inlineStr">
        <is>
          <t>yt_id</t>
        </is>
      </c>
      <c r="C1" s="18" t="inlineStr">
        <is>
          <t>title</t>
        </is>
      </c>
      <c r="D1" s="18" t="inlineStr">
        <is>
          <t>duration_sec</t>
        </is>
      </c>
      <c r="E1" s="18" t="inlineStr">
        <is>
          <t>view_count</t>
        </is>
      </c>
      <c r="F1" s="18" t="inlineStr">
        <is>
          <t>has_auto_subs</t>
        </is>
      </c>
      <c r="G1" s="18" t="inlineStr">
        <is>
          <t>ocr_confidence</t>
        </is>
      </c>
      <c r="H1" s="18" t="inlineStr">
        <is>
          <t>ocr_sample_text</t>
        </is>
      </c>
      <c r="I1" s="18" t="inlineStr">
        <is>
          <t>hardcoded_sub</t>
        </is>
      </c>
      <c r="J1" s="18" t="inlineStr">
        <is>
          <t>local_file</t>
        </is>
      </c>
      <c r="K1" s="18" t="inlineStr">
        <is>
          <t>match_score</t>
        </is>
      </c>
      <c r="L1" s="18" t="inlineStr">
        <is>
          <t>has_docx_sub</t>
        </is>
      </c>
      <c r="M1" s="18" t="inlineStr">
        <is>
          <t>match_status</t>
        </is>
      </c>
    </row>
    <row r="2">
      <c r="A2" t="inlineStr">
        <is>
          <t>LEYES SOBRE LA VIOLENCIA CONTRA LAS MUJERES EN LENGUA DE SEÑAS ARGENTINA (LSA)</t>
        </is>
      </c>
      <c r="B2" t="inlineStr">
        <is>
          <t>p34PDLyzY2U</t>
        </is>
      </c>
      <c r="C2" t="inlineStr">
        <is>
          <t>0  LEYES SOBRE LA VIOLENCIA CONTRA LAS MUJERES  EN LENGUA DE SEÑAS ARGENTINA - PRESENTACIÓN</t>
        </is>
      </c>
      <c r="D2" t="n">
        <v>195</v>
      </c>
      <c r="E2" t="n">
        <v>233</v>
      </c>
      <c r="F2" t="b">
        <v>0</v>
      </c>
      <c r="I2" t="inlineStr"/>
      <c r="J2" t="inlineStr"/>
      <c r="K2" t="inlineStr"/>
      <c r="L2" t="inlineStr"/>
      <c r="M2" t="inlineStr">
        <is>
          <t>sin match</t>
        </is>
      </c>
    </row>
    <row r="3">
      <c r="A3" t="inlineStr">
        <is>
          <t>LEYES SOBRE LA VIOLENCIA CONTRA LAS MUJERES EN LENGUA DE SEÑAS ARGENTINA (LSA)</t>
        </is>
      </c>
      <c r="B3" t="inlineStr">
        <is>
          <t>cI2tBm6zV28</t>
        </is>
      </c>
      <c r="C3" t="inlineStr">
        <is>
          <t>1  LEY DE PROTECCIÓN  INTEGRAL A LAS MUJERES INTRODUCCIÓN  ARTÍCULOS 1 y 2</t>
        </is>
      </c>
      <c r="D3" t="n">
        <v>181</v>
      </c>
      <c r="E3" t="n">
        <v>72</v>
      </c>
      <c r="F3" t="b">
        <v>0</v>
      </c>
      <c r="I3" t="inlineStr"/>
      <c r="J3" t="inlineStr"/>
      <c r="K3" t="inlineStr"/>
      <c r="L3" t="inlineStr"/>
      <c r="M3" t="inlineStr">
        <is>
          <t>sin match</t>
        </is>
      </c>
    </row>
    <row r="4">
      <c r="A4" t="inlineStr">
        <is>
          <t>LEYES SOBRE LA VIOLENCIA CONTRA LAS MUJERES EN LENGUA DE SEÑAS ARGENTINA (LSA)</t>
        </is>
      </c>
      <c r="B4" t="inlineStr">
        <is>
          <t>WpcjPF3Az54</t>
        </is>
      </c>
      <c r="C4" t="inlineStr">
        <is>
          <t>2  LEY DE PROTECCION INTEGRAL A LA MUJER PARTE 1 ART 3 4</t>
        </is>
      </c>
      <c r="D4" t="n">
        <v>352</v>
      </c>
      <c r="E4" t="n">
        <v>32</v>
      </c>
      <c r="F4" t="b">
        <v>0</v>
      </c>
      <c r="I4" t="inlineStr"/>
      <c r="J4" t="inlineStr"/>
      <c r="K4" t="inlineStr"/>
      <c r="L4" t="inlineStr"/>
      <c r="M4" t="inlineStr">
        <is>
          <t>sin match</t>
        </is>
      </c>
    </row>
    <row r="5">
      <c r="A5" t="inlineStr">
        <is>
          <t>LEYES SOBRE LA VIOLENCIA CONTRA LAS MUJERES EN LENGUA DE SEÑAS ARGENTINA (LSA)</t>
        </is>
      </c>
      <c r="B5" t="inlineStr">
        <is>
          <t>0TnEJNFfcqk</t>
        </is>
      </c>
      <c r="C5" t="inlineStr">
        <is>
          <t>3  LEY DE PROTECCION INTEGRAL A LA MUJER PARTE 1_ART 5</t>
        </is>
      </c>
      <c r="D5" t="n">
        <v>444</v>
      </c>
      <c r="E5" t="n">
        <v>16</v>
      </c>
      <c r="F5" t="b">
        <v>0</v>
      </c>
      <c r="I5" t="inlineStr"/>
      <c r="J5" t="inlineStr"/>
      <c r="K5" t="inlineStr"/>
      <c r="L5" t="inlineStr"/>
      <c r="M5" t="inlineStr">
        <is>
          <t>sin match</t>
        </is>
      </c>
    </row>
    <row r="6">
      <c r="A6" t="inlineStr">
        <is>
          <t>LEYES SOBRE LA VIOLENCIA CONTRA LAS MUJERES EN LENGUA DE SEÑAS ARGENTINA (LSA)</t>
        </is>
      </c>
      <c r="B6" t="inlineStr">
        <is>
          <t>g7SPEHgCm8o</t>
        </is>
      </c>
      <c r="C6" t="inlineStr">
        <is>
          <t>4  LEY DE PROTECCION INTEGRAL A LA MUJERES Art  6 convertido</t>
        </is>
      </c>
      <c r="D6" t="n">
        <v>453</v>
      </c>
      <c r="E6" t="n">
        <v>26</v>
      </c>
      <c r="F6" t="b">
        <v>0</v>
      </c>
      <c r="I6" t="inlineStr"/>
      <c r="J6" t="inlineStr"/>
      <c r="K6" t="inlineStr"/>
      <c r="L6" t="inlineStr"/>
      <c r="M6" t="inlineStr">
        <is>
          <t>sin match</t>
        </is>
      </c>
    </row>
    <row r="7">
      <c r="A7" t="inlineStr">
        <is>
          <t>LEYES SOBRE LA VIOLENCIA CONTRA LAS MUJERES EN LENGUA DE SEÑAS ARGENTINA (LSA)</t>
        </is>
      </c>
      <c r="B7" t="inlineStr">
        <is>
          <t>0IbheCdiSf0</t>
        </is>
      </c>
      <c r="C7" t="inlineStr">
        <is>
          <t>5  LEY DE PROTECCIÓN INTEGRAL A LAS MUJERES PARTE 2 Art 7</t>
        </is>
      </c>
      <c r="D7" t="n">
        <v>186</v>
      </c>
      <c r="E7" t="n">
        <v>19</v>
      </c>
      <c r="F7" t="b">
        <v>0</v>
      </c>
      <c r="I7" t="inlineStr"/>
      <c r="J7" t="inlineStr"/>
      <c r="K7" t="inlineStr"/>
      <c r="L7" t="inlineStr"/>
      <c r="M7" t="inlineStr">
        <is>
          <t>sin match</t>
        </is>
      </c>
    </row>
    <row r="8">
      <c r="A8" t="inlineStr">
        <is>
          <t>LEYES SOBRE LA VIOLENCIA CONTRA LAS MUJERES EN LENGUA DE SEÑAS ARGENTINA (LSA)</t>
        </is>
      </c>
      <c r="B8" t="inlineStr">
        <is>
          <t>j1F4WaYk9lc</t>
        </is>
      </c>
      <c r="C8" t="inlineStr">
        <is>
          <t>6  LEY DE PROTECCIÓN INTEGRAL A LAS MUJERES PARTE2 Art 8 9</t>
        </is>
      </c>
      <c r="D8" t="n">
        <v>646</v>
      </c>
      <c r="E8" t="n">
        <v>11</v>
      </c>
      <c r="F8" t="b">
        <v>0</v>
      </c>
      <c r="I8" t="inlineStr"/>
      <c r="J8" t="inlineStr"/>
      <c r="K8" t="inlineStr"/>
      <c r="L8" t="inlineStr"/>
      <c r="M8" t="inlineStr">
        <is>
          <t>sin match</t>
        </is>
      </c>
    </row>
    <row r="9">
      <c r="A9" t="inlineStr">
        <is>
          <t>LEYES SOBRE LA VIOLENCIA CONTRA LAS MUJERES EN LENGUA DE SEÑAS ARGENTINA (LSA)</t>
        </is>
      </c>
      <c r="B9" t="inlineStr">
        <is>
          <t>jrxdaTB3uM4</t>
        </is>
      </c>
      <c r="C9" t="inlineStr">
        <is>
          <t>7  LEY DE PROTECCIÓN INTEGRAL A LAS MUJERES PARTE2 CAP3 ART10</t>
        </is>
      </c>
      <c r="D9" t="n">
        <v>232</v>
      </c>
      <c r="E9" t="n">
        <v>8</v>
      </c>
      <c r="F9" t="b">
        <v>0</v>
      </c>
      <c r="I9" t="inlineStr"/>
      <c r="J9" t="inlineStr"/>
      <c r="K9" t="inlineStr"/>
      <c r="L9" t="inlineStr"/>
      <c r="M9" t="inlineStr">
        <is>
          <t>sin match</t>
        </is>
      </c>
    </row>
    <row r="10">
      <c r="A10" t="inlineStr">
        <is>
          <t>LEYES SOBRE LA VIOLENCIA CONTRA LAS MUJERES EN LENGUA DE SEÑAS ARGENTINA (LSA)</t>
        </is>
      </c>
      <c r="B10" t="inlineStr">
        <is>
          <t>sGI5KhrVPB8</t>
        </is>
      </c>
      <c r="C10" t="inlineStr">
        <is>
          <t>8  LEY DE PROTECCION INTEGRAL A LAS MUJERES PARTE2 CAP3 ART11</t>
        </is>
      </c>
      <c r="D10" t="n">
        <v>1628</v>
      </c>
      <c r="E10" t="n">
        <v>23</v>
      </c>
      <c r="F10" t="b">
        <v>0</v>
      </c>
      <c r="I10" t="inlineStr"/>
      <c r="J10" t="inlineStr"/>
      <c r="K10" t="inlineStr"/>
      <c r="L10" t="inlineStr"/>
      <c r="M10" t="inlineStr">
        <is>
          <t>sin match</t>
        </is>
      </c>
    </row>
    <row r="11">
      <c r="A11" t="inlineStr">
        <is>
          <t>LEYES SOBRE LA VIOLENCIA CONTRA LAS MUJERES EN LENGUA DE SEÑAS ARGENTINA (LSA)</t>
        </is>
      </c>
      <c r="B11" t="inlineStr">
        <is>
          <t>lWGuIDfGvcs</t>
        </is>
      </c>
      <c r="C11" t="inlineStr">
        <is>
          <t>9  LEY DE PROTECCION INTEGRAL A LAS MUEJRES CAP 4 ART 12 13</t>
        </is>
      </c>
      <c r="D11" t="n">
        <v>105</v>
      </c>
      <c r="E11" t="n">
        <v>18</v>
      </c>
      <c r="F11" t="b">
        <v>0</v>
      </c>
      <c r="I11" t="inlineStr"/>
      <c r="J11" t="inlineStr"/>
      <c r="K11" t="inlineStr"/>
      <c r="L11" t="inlineStr"/>
      <c r="M11" t="inlineStr">
        <is>
          <t>sin match</t>
        </is>
      </c>
    </row>
    <row r="12">
      <c r="A12" t="inlineStr">
        <is>
          <t>LEYES SOBRE LA VIOLENCIA CONTRA LAS MUJERES EN LENGUA DE SEÑAS ARGENTINA (LSA)</t>
        </is>
      </c>
      <c r="B12" t="inlineStr">
        <is>
          <t>LvBOswVqwUs</t>
        </is>
      </c>
      <c r="C12" t="inlineStr">
        <is>
          <t>10  LEY DE PROTECCION INTEGRAL A LA MUJER CAP 4 ART 14</t>
        </is>
      </c>
      <c r="D12" t="n">
        <v>410</v>
      </c>
      <c r="E12" t="n">
        <v>7</v>
      </c>
      <c r="F12" t="b">
        <v>0</v>
      </c>
      <c r="I12" t="inlineStr"/>
      <c r="J12" t="inlineStr"/>
      <c r="K12" t="inlineStr"/>
      <c r="L12" t="inlineStr"/>
      <c r="M12" t="inlineStr">
        <is>
          <t>sin match</t>
        </is>
      </c>
    </row>
    <row r="13">
      <c r="A13" t="inlineStr">
        <is>
          <t>LEYES SOBRE LA VIOLENCIA CONTRA LAS MUJERES EN LENGUA DE SEÑAS ARGENTINA (LSA)</t>
        </is>
      </c>
      <c r="B13" t="inlineStr">
        <is>
          <t>RNbhLvscJXI</t>
        </is>
      </c>
      <c r="C13" t="inlineStr">
        <is>
          <t>11  LEY DE PROTECCION INTEGRAL A LAS MUJERES PARTE2 CAP4 ART15</t>
        </is>
      </c>
      <c r="D13" t="n">
        <v>59</v>
      </c>
      <c r="E13" t="n">
        <v>11</v>
      </c>
      <c r="F13" t="b">
        <v>0</v>
      </c>
      <c r="I13" t="inlineStr"/>
      <c r="J13" t="inlineStr"/>
      <c r="K13" t="inlineStr"/>
      <c r="L13" t="inlineStr"/>
      <c r="M13" t="inlineStr">
        <is>
          <t>sin match</t>
        </is>
      </c>
    </row>
    <row r="14">
      <c r="A14" t="inlineStr">
        <is>
          <t>LEYES SOBRE LA VIOLENCIA CONTRA LAS MUJERES EN LENGUA DE SEÑAS ARGENTINA (LSA)</t>
        </is>
      </c>
      <c r="B14" t="inlineStr">
        <is>
          <t>Y2Q1kU6pxcU</t>
        </is>
      </c>
      <c r="C14" t="inlineStr">
        <is>
          <t>12  ARTÍCULO 16 a 20 PROCEDIMIENTOS</t>
        </is>
      </c>
      <c r="D14" t="n">
        <v>335</v>
      </c>
      <c r="E14" t="n">
        <v>40</v>
      </c>
      <c r="F14" t="b">
        <v>0</v>
      </c>
      <c r="I14" t="inlineStr"/>
      <c r="J14" t="inlineStr"/>
      <c r="K14" t="inlineStr"/>
      <c r="L14" t="inlineStr"/>
      <c r="M14" t="inlineStr">
        <is>
          <t>sin match</t>
        </is>
      </c>
    </row>
    <row r="15">
      <c r="A15" t="inlineStr">
        <is>
          <t>LEYES SOBRE LA VIOLENCIA CONTRA LAS MUJERES EN LENGUA DE SEÑAS ARGENTINA (LSA)</t>
        </is>
      </c>
      <c r="B15" t="inlineStr">
        <is>
          <t>qvT_OoNTy48</t>
        </is>
      </c>
      <c r="C15" t="inlineStr">
        <is>
          <t>13  ARTÍCULO 21 A 25 PROCEDIMIENTOS</t>
        </is>
      </c>
      <c r="D15" t="n">
        <v>243</v>
      </c>
      <c r="E15" t="n">
        <v>18</v>
      </c>
      <c r="F15" t="b">
        <v>0</v>
      </c>
      <c r="I15" t="inlineStr"/>
      <c r="J15" t="inlineStr"/>
      <c r="K15" t="inlineStr"/>
      <c r="L15" t="inlineStr"/>
      <c r="M15" t="inlineStr">
        <is>
          <t>sin match</t>
        </is>
      </c>
    </row>
    <row r="16">
      <c r="A16" t="inlineStr">
        <is>
          <t>LEYES SOBRE LA VIOLENCIA CONTRA LAS MUJERES EN LENGUA DE SEÑAS ARGENTINA (LSA)</t>
        </is>
      </c>
      <c r="B16" t="inlineStr">
        <is>
          <t>YxS_T0eYih4</t>
        </is>
      </c>
      <c r="C16" t="inlineStr">
        <is>
          <t>14  ARTÍCULO 26 A 30 PROCEDIMIENTOS</t>
        </is>
      </c>
      <c r="D16" t="n">
        <v>500</v>
      </c>
      <c r="E16" t="n">
        <v>16</v>
      </c>
      <c r="F16" t="b">
        <v>0</v>
      </c>
      <c r="I16" t="inlineStr"/>
      <c r="J16" t="inlineStr"/>
      <c r="K16" t="inlineStr"/>
      <c r="L16" t="inlineStr"/>
      <c r="M16" t="inlineStr">
        <is>
          <t>sin match</t>
        </is>
      </c>
    </row>
    <row r="17">
      <c r="A17" t="inlineStr">
        <is>
          <t>LEYES SOBRE LA VIOLENCIA CONTRA LAS MUJERES EN LENGUA DE SEÑAS ARGENTINA (LSA)</t>
        </is>
      </c>
      <c r="B17" t="inlineStr">
        <is>
          <t>ldDjxRSNljs</t>
        </is>
      </c>
      <c r="C17" t="inlineStr">
        <is>
          <t>15  ARTÍCULO 31 A 35 PROCEDIMIENTOS</t>
        </is>
      </c>
      <c r="D17" t="n">
        <v>225</v>
      </c>
      <c r="E17" t="n">
        <v>14</v>
      </c>
      <c r="F17" t="b">
        <v>0</v>
      </c>
      <c r="I17" t="inlineStr"/>
      <c r="J17" t="inlineStr"/>
      <c r="K17" t="inlineStr"/>
      <c r="L17" t="inlineStr"/>
      <c r="M17" t="inlineStr">
        <is>
          <t>sin match</t>
        </is>
      </c>
    </row>
    <row r="18">
      <c r="A18" t="inlineStr">
        <is>
          <t>LEYES SOBRE LA VIOLENCIA CONTRA LAS MUJERES EN LENGUA DE SEÑAS ARGENTINA (LSA)</t>
        </is>
      </c>
      <c r="B18" t="inlineStr">
        <is>
          <t>d_Rz6G03xb0</t>
        </is>
      </c>
      <c r="C18" t="inlineStr">
        <is>
          <t>16-  ARTÍCULO 36 A 40 PROCEDIMIENTOS</t>
        </is>
      </c>
      <c r="D18" t="n">
        <v>295</v>
      </c>
      <c r="E18" t="n">
        <v>56</v>
      </c>
      <c r="F18" t="b">
        <v>0</v>
      </c>
      <c r="I18" t="inlineStr"/>
      <c r="J18" t="inlineStr"/>
      <c r="K18" t="inlineStr"/>
      <c r="L18" t="inlineStr"/>
      <c r="M18" t="inlineStr">
        <is>
          <t>sin match</t>
        </is>
      </c>
    </row>
    <row r="19">
      <c r="A19" t="inlineStr">
        <is>
          <t>LEYES SOBRE LA VIOLENCIA CONTRA LAS MUJERES EN LENGUA DE SEÑAS ARGENTINA (LSA)</t>
        </is>
      </c>
      <c r="B19" t="inlineStr">
        <is>
          <t>-NZRy3GnzsY</t>
        </is>
      </c>
      <c r="C19" t="inlineStr">
        <is>
          <t>17-  PARTE 4 REGLAS FINALES</t>
        </is>
      </c>
      <c r="D19" t="n">
        <v>84</v>
      </c>
      <c r="E19" t="n">
        <v>15</v>
      </c>
      <c r="F19" t="b">
        <v>0</v>
      </c>
      <c r="I19" t="inlineStr"/>
      <c r="J19" t="inlineStr"/>
      <c r="K19" t="inlineStr"/>
      <c r="L19" t="inlineStr"/>
      <c r="M19" t="inlineStr">
        <is>
          <t>sin match</t>
        </is>
      </c>
    </row>
    <row r="20">
      <c r="A20" t="inlineStr">
        <is>
          <t>LEYES SOBRE LA VIOLENCIA CONTRA LAS MUJERES EN LENGUA DE SEÑAS ARGENTINA (LSA)</t>
        </is>
      </c>
      <c r="B20" t="inlineStr">
        <is>
          <t>WAWGnQl2U58</t>
        </is>
      </c>
      <c r="C20" t="inlineStr">
        <is>
          <t>18  AFICHE TIPOS DE VIOLENCIAS DE GÉNERO</t>
        </is>
      </c>
      <c r="D20" t="n">
        <v>183</v>
      </c>
      <c r="E20" t="n">
        <v>439</v>
      </c>
      <c r="F20" t="b">
        <v>0</v>
      </c>
      <c r="I20" t="inlineStr"/>
      <c r="J20" t="inlineStr"/>
      <c r="K20" t="inlineStr"/>
      <c r="L20" t="inlineStr"/>
      <c r="M20" t="inlineStr">
        <is>
          <t>sin match</t>
        </is>
      </c>
    </row>
    <row r="21">
      <c r="A21" t="inlineStr">
        <is>
          <t>LEYES SOBRE LA VIOLENCIA CONTRA LAS MUJERES EN LENGUA DE SEÑAS ARGENTINA (LSA)</t>
        </is>
      </c>
      <c r="B21" t="inlineStr">
        <is>
          <t>IOJrsH_5f_A</t>
        </is>
      </c>
      <c r="C21" t="inlineStr">
        <is>
          <t>19-  LEY 4203 CABA LEY DE PROTECCIÓN INTEGRAL A LAS MUJERES ART 1-2</t>
        </is>
      </c>
      <c r="D21" t="n">
        <v>60</v>
      </c>
      <c r="E21" t="n">
        <v>35</v>
      </c>
      <c r="F21" t="b">
        <v>0</v>
      </c>
      <c r="I21" t="inlineStr"/>
      <c r="J21" t="inlineStr"/>
      <c r="K21" t="inlineStr"/>
      <c r="L21" t="inlineStr"/>
      <c r="M21" t="inlineStr">
        <is>
          <t>sin match</t>
        </is>
      </c>
    </row>
    <row r="22">
      <c r="A22" t="inlineStr">
        <is>
          <t>LEYES SOBRE LA VIOLENCIA CONTRA LAS MUJERES EN LENGUA DE SEÑAS ARGENTINA (LSA)</t>
        </is>
      </c>
      <c r="B22" t="inlineStr">
        <is>
          <t>Lj_ALipbrhU</t>
        </is>
      </c>
      <c r="C22" t="inlineStr">
        <is>
          <t>20-  LEY SOBRE ACOSO SEXUAL ¿CÓMO ES ESTA LEY?</t>
        </is>
      </c>
      <c r="D22" t="n">
        <v>107</v>
      </c>
      <c r="E22" t="n">
        <v>20</v>
      </c>
      <c r="F22" t="b">
        <v>0</v>
      </c>
      <c r="I22" t="inlineStr"/>
      <c r="J22" t="inlineStr"/>
      <c r="K22" t="inlineStr"/>
      <c r="L22" t="inlineStr"/>
      <c r="M22" t="inlineStr">
        <is>
          <t>sin match</t>
        </is>
      </c>
    </row>
    <row r="23">
      <c r="A23" t="inlineStr">
        <is>
          <t>LEYES SOBRE LA VIOLENCIA CONTRA LAS MUJERES EN LENGUA DE SEÑAS ARGENTINA (LSA)</t>
        </is>
      </c>
      <c r="B23" t="inlineStr">
        <is>
          <t>1IZME8Jf0Sk</t>
        </is>
      </c>
      <c r="C23" t="inlineStr">
        <is>
          <t>21- LEY SOBRE ACOSO SEXUAL PARTE 1 REGLAS GENERALES ART 1-4</t>
        </is>
      </c>
      <c r="D23" t="n">
        <v>209</v>
      </c>
      <c r="E23" t="n">
        <v>12</v>
      </c>
      <c r="F23" t="b">
        <v>0</v>
      </c>
      <c r="I23" t="inlineStr"/>
      <c r="J23" t="inlineStr"/>
      <c r="K23" t="inlineStr"/>
      <c r="L23" t="inlineStr"/>
      <c r="M23" t="inlineStr">
        <is>
          <t>sin match</t>
        </is>
      </c>
    </row>
    <row r="24">
      <c r="A24" t="inlineStr">
        <is>
          <t>LEYES SOBRE LA VIOLENCIA CONTRA LAS MUJERES EN LENGUA DE SEÑAS ARGENTINA (LSA)</t>
        </is>
      </c>
      <c r="B24" t="inlineStr">
        <is>
          <t>pi98OWk0lAY</t>
        </is>
      </c>
      <c r="C24" t="inlineStr">
        <is>
          <t>22-  LEY SOBRE ACOSO SEXUAL PARTE2 ART5-6</t>
        </is>
      </c>
      <c r="D24" t="n">
        <v>96</v>
      </c>
      <c r="E24" t="n">
        <v>17</v>
      </c>
      <c r="F24" t="b">
        <v>0</v>
      </c>
      <c r="I24" t="inlineStr"/>
      <c r="J24" t="inlineStr"/>
      <c r="K24" t="inlineStr"/>
      <c r="L24" t="inlineStr"/>
      <c r="M24" t="inlineStr">
        <is>
          <t>sin match</t>
        </is>
      </c>
    </row>
    <row r="25">
      <c r="A25" t="inlineStr">
        <is>
          <t>LEYES SOBRE LA VIOLENCIA CONTRA LAS MUJERES EN LENGUA DE SEÑAS ARGENTINA (LSA)</t>
        </is>
      </c>
      <c r="B25" t="inlineStr">
        <is>
          <t>fztAMPFPock</t>
        </is>
      </c>
      <c r="C25" t="inlineStr">
        <is>
          <t>23  LEY DE LA CIUDAD DE BUENOS AIRES SOBRE ACOSO SEXUAL _PARTE 3 _Art 7</t>
        </is>
      </c>
      <c r="D25" t="n">
        <v>65</v>
      </c>
      <c r="E25" t="n">
        <v>26</v>
      </c>
      <c r="F25" t="b">
        <v>0</v>
      </c>
      <c r="I25" t="inlineStr"/>
      <c r="J25" t="inlineStr"/>
      <c r="K25" t="inlineStr"/>
      <c r="L25" t="inlineStr"/>
      <c r="M25" t="inlineStr">
        <is>
          <t>sin match</t>
        </is>
      </c>
    </row>
    <row r="26">
      <c r="A26" t="inlineStr">
        <is>
          <t>LEYES SOBRE LA VIOLENCIA CONTRA LAS MUJERES EN LENGUA DE SEÑAS ARGENTINA (LSA)</t>
        </is>
      </c>
      <c r="B26" t="inlineStr">
        <is>
          <t>L-IHwF1yqB8</t>
        </is>
      </c>
      <c r="C26" t="inlineStr">
        <is>
          <t>24  Leyes 5861 y 6134 CABA REPARACIÓN ECONÓMICA INTRODUCCIÓN</t>
        </is>
      </c>
      <c r="D26" t="n">
        <v>130</v>
      </c>
      <c r="E26" t="n">
        <v>18</v>
      </c>
      <c r="F26" t="b">
        <v>0</v>
      </c>
      <c r="I26" t="inlineStr"/>
      <c r="J26" t="inlineStr"/>
      <c r="K26" t="inlineStr"/>
      <c r="L26" t="inlineStr"/>
      <c r="M26" t="inlineStr">
        <is>
          <t>sin match</t>
        </is>
      </c>
    </row>
    <row r="27">
      <c r="A27" t="inlineStr">
        <is>
          <t>LEYES SOBRE LA VIOLENCIA CONTRA LAS MUJERES EN LENGUA DE SEÑAS ARGENTINA (LSA)</t>
        </is>
      </c>
      <c r="B27" t="inlineStr">
        <is>
          <t>mbCOKvVoo44</t>
        </is>
      </c>
      <c r="C27" t="inlineStr">
        <is>
          <t>25- Leyes 5861 y 6134 de la Ciudad  de Buenos Aires Art 1-2</t>
        </is>
      </c>
      <c r="D27" t="n">
        <v>185</v>
      </c>
      <c r="E27" t="n">
        <v>21</v>
      </c>
      <c r="F27" t="b">
        <v>0</v>
      </c>
      <c r="I27" t="inlineStr"/>
      <c r="J27" t="inlineStr"/>
      <c r="K27" t="inlineStr"/>
      <c r="L27" t="inlineStr"/>
      <c r="M27" t="inlineStr">
        <is>
          <t>sin match</t>
        </is>
      </c>
    </row>
    <row r="28">
      <c r="A28" t="inlineStr">
        <is>
          <t>LEYES SOBRE LA VIOLENCIA CONTRA LAS MUJERES EN LENGUA DE SEÑAS ARGENTINA (LSA)</t>
        </is>
      </c>
      <c r="B28" t="inlineStr">
        <is>
          <t>tYLsiHFPLmY</t>
        </is>
      </c>
      <c r="C28" t="inlineStr">
        <is>
          <t>26- Leyes 5861 y 6134 de la Ciudad de Buenos Aires Art 3</t>
        </is>
      </c>
      <c r="D28" t="n">
        <v>63</v>
      </c>
      <c r="E28" t="n">
        <v>14</v>
      </c>
      <c r="F28" t="b">
        <v>0</v>
      </c>
      <c r="I28" t="inlineStr"/>
      <c r="J28" t="inlineStr"/>
      <c r="K28" t="inlineStr"/>
      <c r="L28" t="inlineStr"/>
      <c r="M28" t="inlineStr">
        <is>
          <t>sin match</t>
        </is>
      </c>
    </row>
    <row r="29">
      <c r="A29" t="inlineStr">
        <is>
          <t>LEYES SOBRE LA VIOLENCIA CONTRA LAS MUJERES EN LENGUA DE SEÑAS ARGENTINA (LSA)</t>
        </is>
      </c>
      <c r="B29" t="inlineStr">
        <is>
          <t>eDb-XmOCbMM</t>
        </is>
      </c>
      <c r="C29" t="inlineStr">
        <is>
          <t>27-  Leyes 5861 y 6134 de la Ciudad de Buenos Aires Art-4-5</t>
        </is>
      </c>
      <c r="D29" t="n">
        <v>116</v>
      </c>
      <c r="E29" t="n">
        <v>21</v>
      </c>
      <c r="F29" t="b">
        <v>0</v>
      </c>
      <c r="I29" t="inlineStr"/>
      <c r="J29" t="inlineStr"/>
      <c r="K29" t="inlineStr"/>
      <c r="L29" t="inlineStr"/>
      <c r="M29" t="inlineStr">
        <is>
          <t>sin match</t>
        </is>
      </c>
    </row>
    <row r="30">
      <c r="A30" t="inlineStr">
        <is>
          <t>LEYES SOBRE LA VIOLENCIA CONTRA LAS MUJERES EN LENGUA DE SEÑAS ARGENTINA (LSA)</t>
        </is>
      </c>
      <c r="B30" t="inlineStr">
        <is>
          <t>lD_qm8-d9BM</t>
        </is>
      </c>
      <c r="C30" t="inlineStr">
        <is>
          <t>28  Leyes 5861 y 6134 de la Ciudad de Buenos Aires Art 6-7-8</t>
        </is>
      </c>
      <c r="D30" t="n">
        <v>98</v>
      </c>
      <c r="E30" t="n">
        <v>14</v>
      </c>
      <c r="F30" t="b">
        <v>0</v>
      </c>
      <c r="I30" t="inlineStr"/>
      <c r="J30" t="inlineStr"/>
      <c r="K30" t="inlineStr"/>
      <c r="L30" t="inlineStr"/>
      <c r="M30" t="inlineStr">
        <is>
          <t>sin match</t>
        </is>
      </c>
    </row>
    <row r="31">
      <c r="A31" t="inlineStr">
        <is>
          <t>LEYES SOBRE LA VIOLENCIA CONTRA LAS MUJERES EN LENGUA DE SEÑAS ARGENTINA (LSA)</t>
        </is>
      </c>
      <c r="B31" t="inlineStr">
        <is>
          <t>Uj5zTP6Fasc</t>
        </is>
      </c>
      <c r="C31" t="inlineStr">
        <is>
          <t>29- Leyes 5861 y 6134 de la Ciudad de Buenos Aires Art 9</t>
        </is>
      </c>
      <c r="D31" t="n">
        <v>42</v>
      </c>
      <c r="E31" t="n">
        <v>9</v>
      </c>
      <c r="F31" t="b">
        <v>0</v>
      </c>
      <c r="I31" t="inlineStr"/>
      <c r="J31" t="inlineStr"/>
      <c r="K31" t="inlineStr"/>
      <c r="L31" t="inlineStr"/>
      <c r="M31" t="inlineStr">
        <is>
          <t>sin match</t>
        </is>
      </c>
    </row>
    <row r="32">
      <c r="A32" t="inlineStr">
        <is>
          <t>LEYES SOBRE LA VIOLENCIA CONTRA LAS MUJERES EN LENGUA DE SEÑAS ARGENTINA (LSA)</t>
        </is>
      </c>
      <c r="B32" t="inlineStr">
        <is>
          <t>ekFrEtnmx8Y</t>
        </is>
      </c>
      <c r="C32" t="inlineStr">
        <is>
          <t>30-  Leyes 5861 y 6134 de la Ciudad de Buenos Aires Art 10-11</t>
        </is>
      </c>
      <c r="D32" t="n">
        <v>73</v>
      </c>
      <c r="E32" t="n">
        <v>9</v>
      </c>
      <c r="F32" t="b">
        <v>0</v>
      </c>
      <c r="I32" t="inlineStr"/>
      <c r="J32" t="inlineStr"/>
      <c r="K32" t="inlineStr"/>
      <c r="L32" t="inlineStr"/>
      <c r="M32" t="inlineStr">
        <is>
          <t>sin match</t>
        </is>
      </c>
    </row>
    <row r="33">
      <c r="A33" t="inlineStr">
        <is>
          <t>LEYES SOBRE LA VIOLENCIA CONTRA LAS MUJERES EN LENGUA DE SEÑAS ARGENTINA (LSA)</t>
        </is>
      </c>
      <c r="B33" t="inlineStr">
        <is>
          <t>wcaR2HMG77U</t>
        </is>
      </c>
      <c r="C33" t="inlineStr">
        <is>
          <t>31-  Leyes 5861 y 6134 de la Ciudad de Buenos Aires Art 12-13</t>
        </is>
      </c>
      <c r="D33" t="n">
        <v>67</v>
      </c>
      <c r="E33" t="n">
        <v>15</v>
      </c>
      <c r="F33" t="b">
        <v>0</v>
      </c>
      <c r="I33" t="inlineStr"/>
      <c r="J33" t="inlineStr"/>
      <c r="K33" t="inlineStr"/>
      <c r="L33" t="inlineStr"/>
      <c r="M33" t="inlineStr">
        <is>
          <t>sin match</t>
        </is>
      </c>
    </row>
    <row r="34">
      <c r="A34" t="inlineStr">
        <is>
          <t>LEYES SOBRE LA VIOLENCIA CONTRA LAS MUJERES EN LENGUA DE SEÑAS ARGENTINA (LSA)</t>
        </is>
      </c>
      <c r="B34" t="inlineStr">
        <is>
          <t>cZ5BQWpr3N8</t>
        </is>
      </c>
      <c r="C34" t="inlineStr">
        <is>
          <t>32 - Leyes 5861 y 6134 de la Ciudad de Buenos Aires_Art_14-15-16</t>
        </is>
      </c>
      <c r="D34" t="n">
        <v>93</v>
      </c>
      <c r="E34" t="n">
        <v>47</v>
      </c>
      <c r="F34" t="b">
        <v>0</v>
      </c>
      <c r="I34" t="inlineStr"/>
      <c r="J34" t="inlineStr"/>
      <c r="K34" t="inlineStr"/>
      <c r="L34" t="inlineStr"/>
      <c r="M34" t="inlineStr">
        <is>
          <t>sin match</t>
        </is>
      </c>
    </row>
    <row r="35">
      <c r="A35" t="inlineStr">
        <is>
          <t>LEYES SOBRE LA VIOLENCIA CONTRA LAS MUJERES EN LENGUA DE SEÑAS ARGENTINA (LSA)</t>
        </is>
      </c>
      <c r="B35" t="inlineStr">
        <is>
          <t>6B9o9ZF7nnI</t>
        </is>
      </c>
      <c r="C35" t="inlineStr">
        <is>
          <t>33-  EDITORIAL DE CIERRE</t>
        </is>
      </c>
      <c r="D35" t="n">
        <v>160</v>
      </c>
      <c r="E35" t="n">
        <v>16</v>
      </c>
      <c r="F35" t="b">
        <v>0</v>
      </c>
      <c r="I35" t="inlineStr"/>
      <c r="J35" t="inlineStr"/>
      <c r="K35" t="inlineStr"/>
      <c r="L35" t="inlineStr"/>
      <c r="M35" t="inlineStr">
        <is>
          <t>sin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2026-05-11T15:35:59Z</dcterms:created>
  <dcterms:modified xmlns:dcterms="http://purl.org/dc/terms/" xmlns:xsi="http://www.w3.org/2001/XMLSchema-instance" xsi:type="dcterms:W3CDTF">2026-05-11T17:52:36Z</dcterms:modified>
</cp:coreProperties>
</file>